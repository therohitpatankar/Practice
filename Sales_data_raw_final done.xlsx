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24226"/>
  <mc:AlternateContent xmlns:mc="http://schemas.openxmlformats.org/markup-compatibility/2006">
    <mc:Choice Requires="x15">
      <x15ac:absPath xmlns:x15ac="http://schemas.microsoft.com/office/spreadsheetml/2010/11/ac" url="D:\test\"/>
    </mc:Choice>
  </mc:AlternateContent>
  <xr:revisionPtr revIDLastSave="0" documentId="13_ncr:1_{C13D7950-B32C-4F64-848D-BC10DB7B1373}" xr6:coauthVersionLast="47" xr6:coauthVersionMax="47" xr10:uidLastSave="{00000000-0000-0000-0000-000000000000}"/>
  <bookViews>
    <workbookView xWindow="-108" yWindow="-108" windowWidth="23256" windowHeight="12456" activeTab="4" xr2:uid="{00000000-000D-0000-FFFF-FFFF00000000}"/>
  </bookViews>
  <sheets>
    <sheet name="Sheet2" sheetId="4" r:id="rId1"/>
    <sheet name="Sheet1" sheetId="1" r:id="rId2"/>
    <sheet name="Sheet3" sheetId="3" r:id="rId3"/>
    <sheet name="pivot tables" sheetId="2" r:id="rId4"/>
    <sheet name="DASHBOARD" sheetId="5" r:id="rId5"/>
    <sheet name="Sheet6" sheetId="7" r:id="rId6"/>
    <sheet name="Sheet5" sheetId="6" r:id="rId7"/>
  </sheets>
  <definedNames>
    <definedName name="_xlchart.v5.0" hidden="1">Sheet5!$A$13</definedName>
    <definedName name="_xlchart.v5.1" hidden="1">Sheet5!$A$14:$A$20</definedName>
    <definedName name="_xlchart.v5.2" hidden="1">Sheet5!$B$13</definedName>
    <definedName name="_xlchart.v5.3" hidden="1">Sheet5!$B$14:$B$20</definedName>
    <definedName name="Slicer_clean_payment_mode">#N/A</definedName>
    <definedName name="Slicer_Region">#N/A</definedName>
    <definedName name="Slicer_Segment">#N/A</definedName>
  </definedNames>
  <calcPr calcId="191029"/>
  <pivotCaches>
    <pivotCache cacheId="1"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8" i="5" l="1"/>
  <c r="A17" i="5"/>
  <c r="A16" i="5"/>
  <c r="A15" i="5"/>
  <c r="AR2" i="1"/>
  <c r="AR3" i="1"/>
  <c r="AR4" i="1"/>
  <c r="AR5" i="1"/>
  <c r="AR6" i="1"/>
  <c r="AR7" i="1"/>
  <c r="AR8" i="1"/>
  <c r="AR9" i="1"/>
  <c r="AR10" i="1"/>
  <c r="AR11" i="1"/>
  <c r="AR12" i="1"/>
  <c r="AR13" i="1"/>
  <c r="AR14" i="1"/>
  <c r="AR15" i="1"/>
  <c r="AR16" i="1"/>
  <c r="AR17" i="1"/>
  <c r="AR18" i="1"/>
  <c r="AR19" i="1"/>
  <c r="AR20" i="1"/>
  <c r="AR21" i="1"/>
  <c r="AR22" i="1"/>
  <c r="AR23" i="1"/>
  <c r="AR24" i="1"/>
  <c r="AR25" i="1"/>
  <c r="AR26" i="1"/>
  <c r="AR27" i="1"/>
  <c r="AR28" i="1"/>
  <c r="AR29" i="1"/>
  <c r="AR30" i="1"/>
  <c r="AR31" i="1"/>
  <c r="AR32" i="1"/>
  <c r="AR33" i="1"/>
  <c r="AR34" i="1"/>
  <c r="AR35" i="1"/>
  <c r="AR36" i="1"/>
  <c r="AR37" i="1"/>
  <c r="AR38" i="1"/>
  <c r="AR39" i="1"/>
  <c r="AR40" i="1"/>
  <c r="AR41" i="1"/>
  <c r="AR42" i="1"/>
  <c r="AR43" i="1"/>
  <c r="AR44" i="1"/>
  <c r="AR45" i="1"/>
  <c r="AR46" i="1"/>
  <c r="AR47" i="1"/>
  <c r="AR48" i="1"/>
  <c r="AR49" i="1"/>
  <c r="AR50" i="1"/>
  <c r="AR51" i="1"/>
  <c r="AR52" i="1"/>
  <c r="AR53" i="1"/>
  <c r="AR54" i="1"/>
  <c r="AR55" i="1"/>
  <c r="AR56" i="1"/>
  <c r="AR57" i="1"/>
  <c r="AR58" i="1"/>
  <c r="AR59" i="1"/>
  <c r="AR60" i="1"/>
  <c r="AR61" i="1"/>
  <c r="AR62" i="1"/>
  <c r="AR63" i="1"/>
  <c r="AR64" i="1"/>
  <c r="AR65" i="1"/>
  <c r="AR66" i="1"/>
  <c r="AR67" i="1"/>
  <c r="AR68" i="1"/>
  <c r="AR69" i="1"/>
  <c r="AR70" i="1"/>
  <c r="AR71" i="1"/>
  <c r="AR72" i="1"/>
  <c r="AR73" i="1"/>
  <c r="AR74" i="1"/>
  <c r="AR75" i="1"/>
  <c r="AR76" i="1"/>
  <c r="AR77" i="1"/>
  <c r="AR78" i="1"/>
  <c r="AR79" i="1"/>
  <c r="AR80" i="1"/>
  <c r="AR81" i="1"/>
  <c r="AR82" i="1"/>
  <c r="AR83" i="1"/>
  <c r="AR84" i="1"/>
  <c r="AR85" i="1"/>
  <c r="AR86" i="1"/>
  <c r="AR87" i="1"/>
  <c r="AR88" i="1"/>
  <c r="AR89" i="1"/>
  <c r="AR90" i="1"/>
  <c r="AR91" i="1"/>
  <c r="AR92" i="1"/>
  <c r="AR93" i="1"/>
  <c r="AR94" i="1"/>
  <c r="AR95" i="1"/>
  <c r="AR96" i="1"/>
  <c r="AR97" i="1"/>
  <c r="AR98" i="1"/>
  <c r="AR99" i="1"/>
  <c r="AR100" i="1"/>
  <c r="AR101" i="1"/>
  <c r="AN2" i="1"/>
  <c r="AO2" i="1" s="1"/>
  <c r="AP2" i="1" s="1"/>
  <c r="AQ2" i="1" s="1"/>
  <c r="AN3" i="1"/>
  <c r="AO3" i="1" s="1"/>
  <c r="AP3" i="1" s="1"/>
  <c r="AQ3" i="1" s="1"/>
  <c r="AN4" i="1"/>
  <c r="AO4" i="1" s="1"/>
  <c r="AP4" i="1" s="1"/>
  <c r="AQ4" i="1" s="1"/>
  <c r="AN5" i="1"/>
  <c r="AO5" i="1" s="1"/>
  <c r="AP5" i="1" s="1"/>
  <c r="AQ5" i="1" s="1"/>
  <c r="AN6" i="1"/>
  <c r="AO6" i="1" s="1"/>
  <c r="AP6" i="1" s="1"/>
  <c r="AQ6" i="1" s="1"/>
  <c r="AN7" i="1"/>
  <c r="AO7" i="1" s="1"/>
  <c r="AP7" i="1" s="1"/>
  <c r="AQ7" i="1" s="1"/>
  <c r="AN8" i="1"/>
  <c r="AO8" i="1" s="1"/>
  <c r="AP8" i="1" s="1"/>
  <c r="AQ8" i="1" s="1"/>
  <c r="AN9" i="1"/>
  <c r="AO9" i="1" s="1"/>
  <c r="AP9" i="1" s="1"/>
  <c r="AQ9" i="1" s="1"/>
  <c r="AN10" i="1"/>
  <c r="AN11" i="1"/>
  <c r="AN12" i="1"/>
  <c r="AN13" i="1"/>
  <c r="AN14" i="1"/>
  <c r="AO14" i="1" s="1"/>
  <c r="AP14" i="1" s="1"/>
  <c r="AQ14" i="1" s="1"/>
  <c r="AN15" i="1"/>
  <c r="AO15" i="1" s="1"/>
  <c r="AP15" i="1" s="1"/>
  <c r="AQ15" i="1" s="1"/>
  <c r="AN16" i="1"/>
  <c r="AO16" i="1" s="1"/>
  <c r="AP16" i="1" s="1"/>
  <c r="AQ16" i="1" s="1"/>
  <c r="AN17" i="1"/>
  <c r="AO17" i="1" s="1"/>
  <c r="AP17" i="1" s="1"/>
  <c r="AQ17" i="1" s="1"/>
  <c r="AN18" i="1"/>
  <c r="AO18" i="1" s="1"/>
  <c r="AP18" i="1" s="1"/>
  <c r="AQ18" i="1" s="1"/>
  <c r="AN19" i="1"/>
  <c r="AO19" i="1" s="1"/>
  <c r="AP19" i="1" s="1"/>
  <c r="AQ19" i="1" s="1"/>
  <c r="AN20" i="1"/>
  <c r="AO20" i="1" s="1"/>
  <c r="AP20" i="1" s="1"/>
  <c r="AQ20" i="1" s="1"/>
  <c r="AN21" i="1"/>
  <c r="AO21" i="1" s="1"/>
  <c r="AP21" i="1" s="1"/>
  <c r="AQ21" i="1" s="1"/>
  <c r="AN22" i="1"/>
  <c r="AN23" i="1"/>
  <c r="AN24" i="1"/>
  <c r="AN25" i="1"/>
  <c r="AN26" i="1"/>
  <c r="AO26" i="1" s="1"/>
  <c r="AP26" i="1" s="1"/>
  <c r="AQ26" i="1" s="1"/>
  <c r="AN27" i="1"/>
  <c r="AO27" i="1" s="1"/>
  <c r="AP27" i="1" s="1"/>
  <c r="AQ27" i="1" s="1"/>
  <c r="AN28" i="1"/>
  <c r="AO28" i="1" s="1"/>
  <c r="AP28" i="1" s="1"/>
  <c r="AQ28" i="1" s="1"/>
  <c r="AN29" i="1"/>
  <c r="AO29" i="1" s="1"/>
  <c r="AP29" i="1" s="1"/>
  <c r="AQ29" i="1" s="1"/>
  <c r="AN30" i="1"/>
  <c r="AO30" i="1" s="1"/>
  <c r="AP30" i="1" s="1"/>
  <c r="AQ30" i="1" s="1"/>
  <c r="AN31" i="1"/>
  <c r="AO31" i="1" s="1"/>
  <c r="AN32" i="1"/>
  <c r="AO32" i="1" s="1"/>
  <c r="AN33" i="1"/>
  <c r="AO33" i="1" s="1"/>
  <c r="AN34" i="1"/>
  <c r="AN35" i="1"/>
  <c r="AN36" i="1"/>
  <c r="AN37" i="1"/>
  <c r="AN38" i="1"/>
  <c r="AO38" i="1" s="1"/>
  <c r="AP38" i="1" s="1"/>
  <c r="AQ38" i="1" s="1"/>
  <c r="AN39" i="1"/>
  <c r="AO39" i="1" s="1"/>
  <c r="AP39" i="1" s="1"/>
  <c r="AQ39" i="1" s="1"/>
  <c r="AN40" i="1"/>
  <c r="AO40" i="1" s="1"/>
  <c r="AP40" i="1" s="1"/>
  <c r="AQ40" i="1" s="1"/>
  <c r="AN41" i="1"/>
  <c r="AO41" i="1" s="1"/>
  <c r="AP41" i="1" s="1"/>
  <c r="AQ41" i="1" s="1"/>
  <c r="AN42" i="1"/>
  <c r="AO42" i="1" s="1"/>
  <c r="AP42" i="1" s="1"/>
  <c r="AQ42" i="1" s="1"/>
  <c r="AN43" i="1"/>
  <c r="AO43" i="1" s="1"/>
  <c r="AN44" i="1"/>
  <c r="AO44" i="1" s="1"/>
  <c r="AN45" i="1"/>
  <c r="AO45" i="1" s="1"/>
  <c r="AP45" i="1" s="1"/>
  <c r="AQ45" i="1" s="1"/>
  <c r="AN46" i="1"/>
  <c r="AN47" i="1"/>
  <c r="AN48" i="1"/>
  <c r="AN49" i="1"/>
  <c r="AN50" i="1"/>
  <c r="AO50" i="1" s="1"/>
  <c r="AP50" i="1" s="1"/>
  <c r="AQ50" i="1" s="1"/>
  <c r="AN51" i="1"/>
  <c r="AO51" i="1" s="1"/>
  <c r="AP51" i="1" s="1"/>
  <c r="AQ51" i="1" s="1"/>
  <c r="AN52" i="1"/>
  <c r="AO52" i="1" s="1"/>
  <c r="AP52" i="1" s="1"/>
  <c r="AQ52" i="1" s="1"/>
  <c r="AN53" i="1"/>
  <c r="AO53" i="1" s="1"/>
  <c r="AP53" i="1" s="1"/>
  <c r="AQ53" i="1" s="1"/>
  <c r="AN54" i="1"/>
  <c r="AO54" i="1" s="1"/>
  <c r="AP54" i="1" s="1"/>
  <c r="AQ54" i="1" s="1"/>
  <c r="AN55" i="1"/>
  <c r="AO55" i="1" s="1"/>
  <c r="AP55" i="1" s="1"/>
  <c r="AQ55" i="1" s="1"/>
  <c r="AN56" i="1"/>
  <c r="AO56" i="1" s="1"/>
  <c r="AP56" i="1" s="1"/>
  <c r="AQ56" i="1" s="1"/>
  <c r="AN57" i="1"/>
  <c r="AO57" i="1" s="1"/>
  <c r="AP57" i="1" s="1"/>
  <c r="AQ57" i="1" s="1"/>
  <c r="AN58" i="1"/>
  <c r="AN59" i="1"/>
  <c r="AN60" i="1"/>
  <c r="AN61" i="1"/>
  <c r="AN62" i="1"/>
  <c r="AO62" i="1" s="1"/>
  <c r="AP62" i="1" s="1"/>
  <c r="AQ62" i="1" s="1"/>
  <c r="AN63" i="1"/>
  <c r="AO63" i="1" s="1"/>
  <c r="AP63" i="1" s="1"/>
  <c r="AQ63" i="1" s="1"/>
  <c r="AN64" i="1"/>
  <c r="AO64" i="1" s="1"/>
  <c r="AP64" i="1" s="1"/>
  <c r="AQ64" i="1" s="1"/>
  <c r="AN65" i="1"/>
  <c r="AO65" i="1" s="1"/>
  <c r="AP65" i="1" s="1"/>
  <c r="AQ65" i="1" s="1"/>
  <c r="AN66" i="1"/>
  <c r="AO66" i="1" s="1"/>
  <c r="AP66" i="1" s="1"/>
  <c r="AQ66" i="1" s="1"/>
  <c r="AN67" i="1"/>
  <c r="AO67" i="1" s="1"/>
  <c r="AP67" i="1" s="1"/>
  <c r="AQ67" i="1" s="1"/>
  <c r="AN68" i="1"/>
  <c r="AO68" i="1" s="1"/>
  <c r="AP68" i="1" s="1"/>
  <c r="AQ68" i="1" s="1"/>
  <c r="AN69" i="1"/>
  <c r="AO69" i="1" s="1"/>
  <c r="AP69" i="1" s="1"/>
  <c r="AQ69" i="1" s="1"/>
  <c r="AN70" i="1"/>
  <c r="AN71" i="1"/>
  <c r="AN72" i="1"/>
  <c r="AN73" i="1"/>
  <c r="AN74" i="1"/>
  <c r="AO74" i="1" s="1"/>
  <c r="AP74" i="1" s="1"/>
  <c r="AQ74" i="1" s="1"/>
  <c r="AN75" i="1"/>
  <c r="AO75" i="1" s="1"/>
  <c r="AP75" i="1" s="1"/>
  <c r="AQ75" i="1" s="1"/>
  <c r="AN76" i="1"/>
  <c r="AO76" i="1" s="1"/>
  <c r="AP76" i="1" s="1"/>
  <c r="AQ76" i="1" s="1"/>
  <c r="AN77" i="1"/>
  <c r="AO77" i="1" s="1"/>
  <c r="AP77" i="1" s="1"/>
  <c r="AQ77" i="1" s="1"/>
  <c r="AN78" i="1"/>
  <c r="AO78" i="1" s="1"/>
  <c r="AP78" i="1" s="1"/>
  <c r="AQ78" i="1" s="1"/>
  <c r="AN79" i="1"/>
  <c r="AO79" i="1" s="1"/>
  <c r="AN80" i="1"/>
  <c r="AO80" i="1" s="1"/>
  <c r="AN81" i="1"/>
  <c r="AO81" i="1" s="1"/>
  <c r="AN82" i="1"/>
  <c r="AN83" i="1"/>
  <c r="AN84" i="1"/>
  <c r="AN85" i="1"/>
  <c r="AN86" i="1"/>
  <c r="AO86" i="1" s="1"/>
  <c r="AP86" i="1" s="1"/>
  <c r="AQ86" i="1" s="1"/>
  <c r="AN87" i="1"/>
  <c r="AO87" i="1" s="1"/>
  <c r="AP87" i="1" s="1"/>
  <c r="AQ87" i="1" s="1"/>
  <c r="AN88" i="1"/>
  <c r="AO88" i="1" s="1"/>
  <c r="AP88" i="1" s="1"/>
  <c r="AQ88" i="1" s="1"/>
  <c r="AN89" i="1"/>
  <c r="AO89" i="1" s="1"/>
  <c r="AP89" i="1" s="1"/>
  <c r="AQ89" i="1" s="1"/>
  <c r="AN90" i="1"/>
  <c r="AO90" i="1" s="1"/>
  <c r="AP90" i="1" s="1"/>
  <c r="AQ90" i="1" s="1"/>
  <c r="AN91" i="1"/>
  <c r="AO91" i="1" s="1"/>
  <c r="AN92" i="1"/>
  <c r="AO92" i="1" s="1"/>
  <c r="AN93" i="1"/>
  <c r="AO93" i="1" s="1"/>
  <c r="AP93" i="1" s="1"/>
  <c r="AQ93" i="1" s="1"/>
  <c r="AN94" i="1"/>
  <c r="AN95" i="1"/>
  <c r="AN96" i="1"/>
  <c r="AN97" i="1"/>
  <c r="AN98" i="1"/>
  <c r="AO98" i="1" s="1"/>
  <c r="AP98" i="1" s="1"/>
  <c r="AQ98" i="1" s="1"/>
  <c r="AN99" i="1"/>
  <c r="AO99" i="1" s="1"/>
  <c r="AP99" i="1" s="1"/>
  <c r="AQ99" i="1" s="1"/>
  <c r="AN100" i="1"/>
  <c r="AO100" i="1" s="1"/>
  <c r="AP100" i="1" s="1"/>
  <c r="AQ100" i="1" s="1"/>
  <c r="AN101" i="1"/>
  <c r="AO101" i="1" s="1"/>
  <c r="AP101" i="1" s="1"/>
  <c r="AQ101" i="1" s="1"/>
  <c r="AM2" i="1"/>
  <c r="AM3" i="1"/>
  <c r="AM4" i="1"/>
  <c r="AM5" i="1"/>
  <c r="AM6" i="1"/>
  <c r="AM7" i="1"/>
  <c r="AM8" i="1"/>
  <c r="AM9" i="1"/>
  <c r="AM10" i="1"/>
  <c r="AM11" i="1"/>
  <c r="AM12" i="1"/>
  <c r="AM13" i="1"/>
  <c r="AM14" i="1"/>
  <c r="AM15" i="1"/>
  <c r="AM16" i="1"/>
  <c r="AM17" i="1"/>
  <c r="AM18" i="1"/>
  <c r="AM19" i="1"/>
  <c r="AM20" i="1"/>
  <c r="AM21" i="1"/>
  <c r="AM22" i="1"/>
  <c r="AM23" i="1"/>
  <c r="AM24" i="1"/>
  <c r="AM25" i="1"/>
  <c r="AM26" i="1"/>
  <c r="AM27" i="1"/>
  <c r="AM28" i="1"/>
  <c r="AM29" i="1"/>
  <c r="AM30" i="1"/>
  <c r="AM31" i="1"/>
  <c r="AM32" i="1"/>
  <c r="AM33" i="1"/>
  <c r="AM34" i="1"/>
  <c r="AM35" i="1"/>
  <c r="AM36" i="1"/>
  <c r="AM37" i="1"/>
  <c r="AM38" i="1"/>
  <c r="AM39" i="1"/>
  <c r="AM40" i="1"/>
  <c r="AM41" i="1"/>
  <c r="AM42" i="1"/>
  <c r="AM43" i="1"/>
  <c r="AM44" i="1"/>
  <c r="AM45" i="1"/>
  <c r="AM46" i="1"/>
  <c r="AM47" i="1"/>
  <c r="AM48" i="1"/>
  <c r="AM49" i="1"/>
  <c r="AM50" i="1"/>
  <c r="AM51" i="1"/>
  <c r="AM52" i="1"/>
  <c r="AM53" i="1"/>
  <c r="AM54" i="1"/>
  <c r="AM55" i="1"/>
  <c r="AM56" i="1"/>
  <c r="AM57" i="1"/>
  <c r="AM58" i="1"/>
  <c r="AM59" i="1"/>
  <c r="AM60" i="1"/>
  <c r="AM61" i="1"/>
  <c r="AM62" i="1"/>
  <c r="AM63" i="1"/>
  <c r="AM64" i="1"/>
  <c r="AM65" i="1"/>
  <c r="AM66" i="1"/>
  <c r="AM67" i="1"/>
  <c r="AM68" i="1"/>
  <c r="AM69" i="1"/>
  <c r="AM70" i="1"/>
  <c r="AM71" i="1"/>
  <c r="AM72" i="1"/>
  <c r="AM73" i="1"/>
  <c r="AM74" i="1"/>
  <c r="AM75" i="1"/>
  <c r="AM76" i="1"/>
  <c r="AM77" i="1"/>
  <c r="AM78" i="1"/>
  <c r="AM79" i="1"/>
  <c r="AM80" i="1"/>
  <c r="AM81" i="1"/>
  <c r="AM82" i="1"/>
  <c r="AM83" i="1"/>
  <c r="AM84" i="1"/>
  <c r="AM85" i="1"/>
  <c r="AM86" i="1"/>
  <c r="AM87" i="1"/>
  <c r="AM88" i="1"/>
  <c r="AM89" i="1"/>
  <c r="AM90" i="1"/>
  <c r="AM91" i="1"/>
  <c r="AM92" i="1"/>
  <c r="AM93" i="1"/>
  <c r="AM94" i="1"/>
  <c r="AM95" i="1"/>
  <c r="AM96" i="1"/>
  <c r="AM97" i="1"/>
  <c r="AM98" i="1"/>
  <c r="AM99" i="1"/>
  <c r="AM100" i="1"/>
  <c r="AM101" i="1"/>
  <c r="AK2" i="1"/>
  <c r="AK3" i="1"/>
  <c r="AK4" i="1"/>
  <c r="AK5" i="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K55" i="1"/>
  <c r="AK56" i="1"/>
  <c r="AK57" i="1"/>
  <c r="AK58" i="1"/>
  <c r="AK59" i="1"/>
  <c r="AK60" i="1"/>
  <c r="AK61" i="1"/>
  <c r="AK62" i="1"/>
  <c r="AK63" i="1"/>
  <c r="AK64" i="1"/>
  <c r="AK65" i="1"/>
  <c r="AK66" i="1"/>
  <c r="AK67" i="1"/>
  <c r="AK68" i="1"/>
  <c r="AK69" i="1"/>
  <c r="AK70" i="1"/>
  <c r="AK71" i="1"/>
  <c r="AK72" i="1"/>
  <c r="AK73" i="1"/>
  <c r="AK74" i="1"/>
  <c r="AK75" i="1"/>
  <c r="AK76" i="1"/>
  <c r="AK77" i="1"/>
  <c r="AK78" i="1"/>
  <c r="AK79" i="1"/>
  <c r="AK80" i="1"/>
  <c r="AK81" i="1"/>
  <c r="AK82" i="1"/>
  <c r="AK83" i="1"/>
  <c r="AK84" i="1"/>
  <c r="AK85" i="1"/>
  <c r="AK86" i="1"/>
  <c r="AK87" i="1"/>
  <c r="AK88" i="1"/>
  <c r="AK89" i="1"/>
  <c r="AK90" i="1"/>
  <c r="AK91" i="1"/>
  <c r="AK92" i="1"/>
  <c r="AK93" i="1"/>
  <c r="AK94" i="1"/>
  <c r="AK95" i="1"/>
  <c r="AK96" i="1"/>
  <c r="AK97" i="1"/>
  <c r="AK98" i="1"/>
  <c r="AK99" i="1"/>
  <c r="AK100" i="1"/>
  <c r="AK101" i="1"/>
  <c r="AJ2" i="1"/>
  <c r="AJ3" i="1"/>
  <c r="AJ4" i="1"/>
  <c r="AJ5" i="1"/>
  <c r="AJ6" i="1"/>
  <c r="AJ7" i="1"/>
  <c r="AJ8" i="1"/>
  <c r="AJ9" i="1"/>
  <c r="AJ10" i="1"/>
  <c r="AJ11" i="1"/>
  <c r="AJ12" i="1"/>
  <c r="AJ13" i="1"/>
  <c r="AJ14" i="1"/>
  <c r="AJ15" i="1"/>
  <c r="AJ16" i="1"/>
  <c r="AJ17" i="1"/>
  <c r="AJ18" i="1"/>
  <c r="AJ19" i="1"/>
  <c r="AJ20" i="1"/>
  <c r="AJ21" i="1"/>
  <c r="AJ22" i="1"/>
  <c r="AJ23" i="1"/>
  <c r="AJ24" i="1"/>
  <c r="AJ25" i="1"/>
  <c r="AJ26" i="1"/>
  <c r="AJ27" i="1"/>
  <c r="AJ28" i="1"/>
  <c r="AJ29" i="1"/>
  <c r="AJ30" i="1"/>
  <c r="AJ31" i="1"/>
  <c r="AJ32" i="1"/>
  <c r="AJ33" i="1"/>
  <c r="AJ34" i="1"/>
  <c r="AJ35" i="1"/>
  <c r="AJ36" i="1"/>
  <c r="AJ37" i="1"/>
  <c r="AJ38" i="1"/>
  <c r="AJ39" i="1"/>
  <c r="AJ40" i="1"/>
  <c r="AJ41" i="1"/>
  <c r="AJ42" i="1"/>
  <c r="AJ43" i="1"/>
  <c r="AJ44" i="1"/>
  <c r="AJ45" i="1"/>
  <c r="AJ46" i="1"/>
  <c r="AJ47" i="1"/>
  <c r="AJ48" i="1"/>
  <c r="AJ49" i="1"/>
  <c r="AJ50" i="1"/>
  <c r="AJ51" i="1"/>
  <c r="AJ52" i="1"/>
  <c r="AJ53" i="1"/>
  <c r="AJ54" i="1"/>
  <c r="AJ55" i="1"/>
  <c r="AJ56" i="1"/>
  <c r="AJ57" i="1"/>
  <c r="AJ58" i="1"/>
  <c r="AJ59" i="1"/>
  <c r="AJ60" i="1"/>
  <c r="AJ61" i="1"/>
  <c r="AJ62" i="1"/>
  <c r="AJ63" i="1"/>
  <c r="AJ64" i="1"/>
  <c r="AJ65" i="1"/>
  <c r="AJ66" i="1"/>
  <c r="AJ67" i="1"/>
  <c r="AJ68" i="1"/>
  <c r="AJ69" i="1"/>
  <c r="AJ70" i="1"/>
  <c r="AJ71" i="1"/>
  <c r="AJ72" i="1"/>
  <c r="AJ73" i="1"/>
  <c r="AJ74" i="1"/>
  <c r="AJ75" i="1"/>
  <c r="AJ76" i="1"/>
  <c r="AJ77" i="1"/>
  <c r="AJ78" i="1"/>
  <c r="AJ79" i="1"/>
  <c r="AJ80" i="1"/>
  <c r="AJ81" i="1"/>
  <c r="AJ82" i="1"/>
  <c r="AJ83" i="1"/>
  <c r="AJ84" i="1"/>
  <c r="AJ85" i="1"/>
  <c r="AJ86" i="1"/>
  <c r="AJ87" i="1"/>
  <c r="AJ88" i="1"/>
  <c r="AJ89" i="1"/>
  <c r="AJ90" i="1"/>
  <c r="AJ91" i="1"/>
  <c r="AJ92" i="1"/>
  <c r="AJ93" i="1"/>
  <c r="AJ94" i="1"/>
  <c r="AJ95" i="1"/>
  <c r="AJ96" i="1"/>
  <c r="AJ97" i="1"/>
  <c r="AJ98" i="1"/>
  <c r="AJ99" i="1"/>
  <c r="AJ100" i="1"/>
  <c r="AJ101" i="1"/>
  <c r="AI2" i="1"/>
  <c r="AI3" i="1"/>
  <c r="AI4" i="1"/>
  <c r="AI5" i="1"/>
  <c r="AI6" i="1"/>
  <c r="AI7" i="1"/>
  <c r="AI8" i="1"/>
  <c r="AI9" i="1"/>
  <c r="AI10" i="1"/>
  <c r="AI11" i="1"/>
  <c r="AI12" i="1"/>
  <c r="AI13" i="1"/>
  <c r="AI14" i="1"/>
  <c r="AI15" i="1"/>
  <c r="AI16" i="1"/>
  <c r="AI17" i="1"/>
  <c r="AI18" i="1"/>
  <c r="AI19" i="1"/>
  <c r="AI20" i="1"/>
  <c r="AI21" i="1"/>
  <c r="AI22" i="1"/>
  <c r="AI23" i="1"/>
  <c r="AI24" i="1"/>
  <c r="AI25" i="1"/>
  <c r="AI26" i="1"/>
  <c r="AI27" i="1"/>
  <c r="AI28" i="1"/>
  <c r="AI29" i="1"/>
  <c r="AI30" i="1"/>
  <c r="AI31" i="1"/>
  <c r="AI32" i="1"/>
  <c r="AI33" i="1"/>
  <c r="AI34" i="1"/>
  <c r="AI35" i="1"/>
  <c r="AI36" i="1"/>
  <c r="AI37" i="1"/>
  <c r="AI38" i="1"/>
  <c r="AI39" i="1"/>
  <c r="AI40" i="1"/>
  <c r="AI41" i="1"/>
  <c r="AI42" i="1"/>
  <c r="AI43" i="1"/>
  <c r="AI44" i="1"/>
  <c r="AI45" i="1"/>
  <c r="AI46" i="1"/>
  <c r="AI47" i="1"/>
  <c r="AI48" i="1"/>
  <c r="AI49" i="1"/>
  <c r="AI50" i="1"/>
  <c r="AI51" i="1"/>
  <c r="AI52" i="1"/>
  <c r="AI53" i="1"/>
  <c r="AI54" i="1"/>
  <c r="AI55" i="1"/>
  <c r="AI56" i="1"/>
  <c r="AI57" i="1"/>
  <c r="AI58" i="1"/>
  <c r="AI59" i="1"/>
  <c r="AI60" i="1"/>
  <c r="AI61" i="1"/>
  <c r="AI62" i="1"/>
  <c r="AI63" i="1"/>
  <c r="AI64" i="1"/>
  <c r="AI65" i="1"/>
  <c r="AI66" i="1"/>
  <c r="AI67" i="1"/>
  <c r="AI68" i="1"/>
  <c r="AI69" i="1"/>
  <c r="AI70" i="1"/>
  <c r="AI71" i="1"/>
  <c r="AI72" i="1"/>
  <c r="AI73" i="1"/>
  <c r="AI74" i="1"/>
  <c r="AI75" i="1"/>
  <c r="AI76" i="1"/>
  <c r="AI77" i="1"/>
  <c r="AI78" i="1"/>
  <c r="AI79" i="1"/>
  <c r="AI80" i="1"/>
  <c r="AI81" i="1"/>
  <c r="AI82" i="1"/>
  <c r="AI83" i="1"/>
  <c r="AI84" i="1"/>
  <c r="AI85" i="1"/>
  <c r="AI86" i="1"/>
  <c r="AI87" i="1"/>
  <c r="AI88" i="1"/>
  <c r="AI89" i="1"/>
  <c r="AI90" i="1"/>
  <c r="AI91" i="1"/>
  <c r="AI92" i="1"/>
  <c r="AI93" i="1"/>
  <c r="AI94" i="1"/>
  <c r="AI95" i="1"/>
  <c r="AI96" i="1"/>
  <c r="AI97" i="1"/>
  <c r="AI98" i="1"/>
  <c r="AI99" i="1"/>
  <c r="AI100" i="1"/>
  <c r="AI101" i="1"/>
  <c r="AH2" i="1"/>
  <c r="AH3" i="1"/>
  <c r="AH4" i="1"/>
  <c r="AH5" i="1"/>
  <c r="AH6" i="1"/>
  <c r="AH7" i="1"/>
  <c r="AH8" i="1"/>
  <c r="AH9" i="1"/>
  <c r="AH10" i="1"/>
  <c r="AH11" i="1"/>
  <c r="AH12" i="1"/>
  <c r="AH13" i="1"/>
  <c r="AH14" i="1"/>
  <c r="AH15" i="1"/>
  <c r="AH16" i="1"/>
  <c r="AH17" i="1"/>
  <c r="AH18" i="1"/>
  <c r="AH19" i="1"/>
  <c r="AH20" i="1"/>
  <c r="AH21" i="1"/>
  <c r="AH22" i="1"/>
  <c r="AH23" i="1"/>
  <c r="AH24" i="1"/>
  <c r="AH25" i="1"/>
  <c r="AH26" i="1"/>
  <c r="AH27" i="1"/>
  <c r="AH28" i="1"/>
  <c r="AH29" i="1"/>
  <c r="AH30" i="1"/>
  <c r="AH31" i="1"/>
  <c r="AH32" i="1"/>
  <c r="AH33" i="1"/>
  <c r="AH34" i="1"/>
  <c r="AH35" i="1"/>
  <c r="AH36" i="1"/>
  <c r="AH37" i="1"/>
  <c r="AH38" i="1"/>
  <c r="AH39" i="1"/>
  <c r="AH40" i="1"/>
  <c r="AH41" i="1"/>
  <c r="AH42" i="1"/>
  <c r="AH43" i="1"/>
  <c r="AH44" i="1"/>
  <c r="AH45" i="1"/>
  <c r="AH46" i="1"/>
  <c r="AH47" i="1"/>
  <c r="AH48" i="1"/>
  <c r="AH49" i="1"/>
  <c r="AH50" i="1"/>
  <c r="AH51" i="1"/>
  <c r="AH52" i="1"/>
  <c r="AH53" i="1"/>
  <c r="AH54" i="1"/>
  <c r="AH55" i="1"/>
  <c r="AH56" i="1"/>
  <c r="AH57" i="1"/>
  <c r="AH58" i="1"/>
  <c r="AH59" i="1"/>
  <c r="AH60" i="1"/>
  <c r="AH61" i="1"/>
  <c r="AH62" i="1"/>
  <c r="AH63" i="1"/>
  <c r="AH64" i="1"/>
  <c r="AH65" i="1"/>
  <c r="AH66" i="1"/>
  <c r="AH67" i="1"/>
  <c r="AH68" i="1"/>
  <c r="AH69" i="1"/>
  <c r="AH70" i="1"/>
  <c r="AH71" i="1"/>
  <c r="AH72" i="1"/>
  <c r="AH73" i="1"/>
  <c r="AH74" i="1"/>
  <c r="AH75" i="1"/>
  <c r="AH76" i="1"/>
  <c r="AH77" i="1"/>
  <c r="AH78" i="1"/>
  <c r="AH79" i="1"/>
  <c r="AH80" i="1"/>
  <c r="AH81" i="1"/>
  <c r="AH82" i="1"/>
  <c r="AH83" i="1"/>
  <c r="AH84" i="1"/>
  <c r="AH85" i="1"/>
  <c r="AH86" i="1"/>
  <c r="AH87" i="1"/>
  <c r="AH88" i="1"/>
  <c r="AH89" i="1"/>
  <c r="AH90" i="1"/>
  <c r="AH91" i="1"/>
  <c r="AH92" i="1"/>
  <c r="AH93" i="1"/>
  <c r="AH94" i="1"/>
  <c r="AH95" i="1"/>
  <c r="AH96" i="1"/>
  <c r="AH97" i="1"/>
  <c r="AH98" i="1"/>
  <c r="AH99" i="1"/>
  <c r="AH100" i="1"/>
  <c r="AH101" i="1"/>
  <c r="AG2" i="1"/>
  <c r="AG3" i="1"/>
  <c r="AG4" i="1"/>
  <c r="AG5" i="1"/>
  <c r="AG6" i="1"/>
  <c r="AG7" i="1"/>
  <c r="AG8" i="1"/>
  <c r="AG9" i="1"/>
  <c r="AG10" i="1"/>
  <c r="AG11" i="1"/>
  <c r="AG12" i="1"/>
  <c r="AG13" i="1"/>
  <c r="AG14" i="1"/>
  <c r="AG15" i="1"/>
  <c r="AG16" i="1"/>
  <c r="AG17" i="1"/>
  <c r="AG18" i="1"/>
  <c r="AG19" i="1"/>
  <c r="AG20" i="1"/>
  <c r="AG21" i="1"/>
  <c r="AG22" i="1"/>
  <c r="AG23" i="1"/>
  <c r="AG24" i="1"/>
  <c r="AG25" i="1"/>
  <c r="AG26" i="1"/>
  <c r="AG27" i="1"/>
  <c r="AG28" i="1"/>
  <c r="AG29" i="1"/>
  <c r="AG30" i="1"/>
  <c r="AG31" i="1"/>
  <c r="AG32" i="1"/>
  <c r="AG33" i="1"/>
  <c r="AG34" i="1"/>
  <c r="AG35" i="1"/>
  <c r="AG36" i="1"/>
  <c r="AG37" i="1"/>
  <c r="AG38" i="1"/>
  <c r="AG39" i="1"/>
  <c r="AG40" i="1"/>
  <c r="AG41" i="1"/>
  <c r="AG42" i="1"/>
  <c r="AG43" i="1"/>
  <c r="AG44" i="1"/>
  <c r="AG45" i="1"/>
  <c r="AG46" i="1"/>
  <c r="AG47" i="1"/>
  <c r="AG48" i="1"/>
  <c r="AG49" i="1"/>
  <c r="AG50" i="1"/>
  <c r="AG51" i="1"/>
  <c r="AG52" i="1"/>
  <c r="AG53" i="1"/>
  <c r="AG54" i="1"/>
  <c r="AG55" i="1"/>
  <c r="AG56" i="1"/>
  <c r="AG57" i="1"/>
  <c r="AG58" i="1"/>
  <c r="AG59" i="1"/>
  <c r="AG60" i="1"/>
  <c r="AG61" i="1"/>
  <c r="AG62" i="1"/>
  <c r="AG63" i="1"/>
  <c r="AG64" i="1"/>
  <c r="AG65" i="1"/>
  <c r="AG66" i="1"/>
  <c r="AG67" i="1"/>
  <c r="AG68" i="1"/>
  <c r="AG69" i="1"/>
  <c r="AG70" i="1"/>
  <c r="AG71" i="1"/>
  <c r="AG72" i="1"/>
  <c r="AG73" i="1"/>
  <c r="AG74" i="1"/>
  <c r="AG75" i="1"/>
  <c r="AG76" i="1"/>
  <c r="AG77" i="1"/>
  <c r="AG78" i="1"/>
  <c r="AG79" i="1"/>
  <c r="AG80" i="1"/>
  <c r="AG81" i="1"/>
  <c r="AG82" i="1"/>
  <c r="AG83" i="1"/>
  <c r="AG84" i="1"/>
  <c r="AG85" i="1"/>
  <c r="AG86" i="1"/>
  <c r="AG87" i="1"/>
  <c r="AG88" i="1"/>
  <c r="AG89" i="1"/>
  <c r="AG90" i="1"/>
  <c r="AG91" i="1"/>
  <c r="AG92" i="1"/>
  <c r="AG93" i="1"/>
  <c r="AG94" i="1"/>
  <c r="AG95" i="1"/>
  <c r="AG96" i="1"/>
  <c r="AG97" i="1"/>
  <c r="AG98" i="1"/>
  <c r="AG99" i="1"/>
  <c r="AG100" i="1"/>
  <c r="AG101" i="1"/>
  <c r="AF2" i="1"/>
  <c r="AF3" i="1"/>
  <c r="AF4" i="1"/>
  <c r="AF5" i="1"/>
  <c r="AF6" i="1"/>
  <c r="AF7" i="1"/>
  <c r="AF8" i="1"/>
  <c r="AF9" i="1"/>
  <c r="AF10" i="1"/>
  <c r="AF11" i="1"/>
  <c r="AF12" i="1"/>
  <c r="AF13" i="1"/>
  <c r="AF14" i="1"/>
  <c r="AF15" i="1"/>
  <c r="AF16" i="1"/>
  <c r="AF17" i="1"/>
  <c r="AF18" i="1"/>
  <c r="AF19" i="1"/>
  <c r="AF20" i="1"/>
  <c r="AF21" i="1"/>
  <c r="AF22" i="1"/>
  <c r="AF23" i="1"/>
  <c r="AF24" i="1"/>
  <c r="AF25" i="1"/>
  <c r="AF26" i="1"/>
  <c r="AF27" i="1"/>
  <c r="AF28" i="1"/>
  <c r="AF29" i="1"/>
  <c r="AF30" i="1"/>
  <c r="AF31" i="1"/>
  <c r="AF32" i="1"/>
  <c r="AF33" i="1"/>
  <c r="AF34" i="1"/>
  <c r="AF35" i="1"/>
  <c r="AF36" i="1"/>
  <c r="AF37" i="1"/>
  <c r="AF38" i="1"/>
  <c r="AF39" i="1"/>
  <c r="AF40" i="1"/>
  <c r="AF41" i="1"/>
  <c r="AF42" i="1"/>
  <c r="AF43" i="1"/>
  <c r="AF44" i="1"/>
  <c r="AF45" i="1"/>
  <c r="AF46" i="1"/>
  <c r="AF47" i="1"/>
  <c r="AF48" i="1"/>
  <c r="AF49" i="1"/>
  <c r="AF50" i="1"/>
  <c r="AF51" i="1"/>
  <c r="AF52" i="1"/>
  <c r="AF53" i="1"/>
  <c r="AF54" i="1"/>
  <c r="AF55" i="1"/>
  <c r="AF56" i="1"/>
  <c r="AF57" i="1"/>
  <c r="AF58" i="1"/>
  <c r="AF59" i="1"/>
  <c r="AF60" i="1"/>
  <c r="AF61" i="1"/>
  <c r="AF62" i="1"/>
  <c r="AF63" i="1"/>
  <c r="AF64" i="1"/>
  <c r="AF65" i="1"/>
  <c r="AF66" i="1"/>
  <c r="AF67" i="1"/>
  <c r="AF68" i="1"/>
  <c r="AF69" i="1"/>
  <c r="AF70" i="1"/>
  <c r="AF71" i="1"/>
  <c r="AF72" i="1"/>
  <c r="AF73" i="1"/>
  <c r="AF74" i="1"/>
  <c r="AF75" i="1"/>
  <c r="AF76" i="1"/>
  <c r="AF77" i="1"/>
  <c r="AF78" i="1"/>
  <c r="AF79" i="1"/>
  <c r="AF80" i="1"/>
  <c r="AF81" i="1"/>
  <c r="AF82" i="1"/>
  <c r="AF83" i="1"/>
  <c r="AF84" i="1"/>
  <c r="AF85" i="1"/>
  <c r="AF86" i="1"/>
  <c r="AF87" i="1"/>
  <c r="AF88" i="1"/>
  <c r="AF89" i="1"/>
  <c r="AF90" i="1"/>
  <c r="AF91" i="1"/>
  <c r="AF92" i="1"/>
  <c r="AF93" i="1"/>
  <c r="AF94" i="1"/>
  <c r="AF95" i="1"/>
  <c r="AF96" i="1"/>
  <c r="AF97" i="1"/>
  <c r="AF98" i="1"/>
  <c r="AF99" i="1"/>
  <c r="AF100" i="1"/>
  <c r="AF101" i="1"/>
  <c r="AD2" i="1"/>
  <c r="AD3" i="1"/>
  <c r="AD4" i="1"/>
  <c r="AD5" i="1"/>
  <c r="AD6" i="1"/>
  <c r="AD7" i="1"/>
  <c r="AD8" i="1"/>
  <c r="AD9" i="1"/>
  <c r="AD10" i="1"/>
  <c r="AD11" i="1"/>
  <c r="AD12" i="1"/>
  <c r="AD13" i="1"/>
  <c r="AD14" i="1"/>
  <c r="AD15" i="1"/>
  <c r="AD16" i="1"/>
  <c r="AD17" i="1"/>
  <c r="AD18" i="1"/>
  <c r="AD19" i="1"/>
  <c r="AD20" i="1"/>
  <c r="AD21" i="1"/>
  <c r="AD22" i="1"/>
  <c r="AD23" i="1"/>
  <c r="AD24" i="1"/>
  <c r="AD25" i="1"/>
  <c r="AD26" i="1"/>
  <c r="AD27" i="1"/>
  <c r="AD28" i="1"/>
  <c r="AD29" i="1"/>
  <c r="AD30" i="1"/>
  <c r="AD31" i="1"/>
  <c r="AD32" i="1"/>
  <c r="AD33" i="1"/>
  <c r="AD34" i="1"/>
  <c r="AD35" i="1"/>
  <c r="AD36" i="1"/>
  <c r="AD37" i="1"/>
  <c r="AD38" i="1"/>
  <c r="AD39" i="1"/>
  <c r="AD40" i="1"/>
  <c r="AD41" i="1"/>
  <c r="AD42" i="1"/>
  <c r="AD43" i="1"/>
  <c r="AD44" i="1"/>
  <c r="AD45" i="1"/>
  <c r="AD46" i="1"/>
  <c r="AD47" i="1"/>
  <c r="AD48" i="1"/>
  <c r="AD49" i="1"/>
  <c r="AD50" i="1"/>
  <c r="AD51" i="1"/>
  <c r="AD52" i="1"/>
  <c r="AD53" i="1"/>
  <c r="AD54" i="1"/>
  <c r="AD55" i="1"/>
  <c r="AD56" i="1"/>
  <c r="AD57" i="1"/>
  <c r="AD58" i="1"/>
  <c r="AD59" i="1"/>
  <c r="AD60" i="1"/>
  <c r="AD61" i="1"/>
  <c r="AD62" i="1"/>
  <c r="AD63" i="1"/>
  <c r="AD64" i="1"/>
  <c r="AD65" i="1"/>
  <c r="AD66" i="1"/>
  <c r="AD67" i="1"/>
  <c r="AD68" i="1"/>
  <c r="AD69" i="1"/>
  <c r="AD70" i="1"/>
  <c r="AD71" i="1"/>
  <c r="AD72" i="1"/>
  <c r="AD73" i="1"/>
  <c r="AD74" i="1"/>
  <c r="AD75" i="1"/>
  <c r="AD76" i="1"/>
  <c r="AD77" i="1"/>
  <c r="AD78" i="1"/>
  <c r="AD79" i="1"/>
  <c r="AD80" i="1"/>
  <c r="AD81" i="1"/>
  <c r="AD82" i="1"/>
  <c r="AD83" i="1"/>
  <c r="AD84" i="1"/>
  <c r="AD85" i="1"/>
  <c r="AD86" i="1"/>
  <c r="AD87" i="1"/>
  <c r="AD88" i="1"/>
  <c r="AD89" i="1"/>
  <c r="AD90" i="1"/>
  <c r="AD91" i="1"/>
  <c r="AD92" i="1"/>
  <c r="AD93" i="1"/>
  <c r="AD94" i="1"/>
  <c r="AD95" i="1"/>
  <c r="AD96" i="1"/>
  <c r="AD97" i="1"/>
  <c r="AD98" i="1"/>
  <c r="AD99" i="1"/>
  <c r="AD100" i="1"/>
  <c r="AD101" i="1"/>
  <c r="AL101" i="1" s="1"/>
  <c r="T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A25" i="3"/>
  <c r="A22" i="3"/>
  <c r="A18" i="3"/>
  <c r="A15" i="3"/>
  <c r="A12" i="3"/>
  <c r="A9" i="3"/>
  <c r="A6" i="3"/>
  <c r="L2" i="3" a="1"/>
  <c r="L2" i="3" s="1"/>
  <c r="J2" i="3" a="1"/>
  <c r="J2" i="3" s="1"/>
  <c r="G2" i="3" a="1"/>
  <c r="G2" i="3" s="1"/>
  <c r="E2" i="3" a="1"/>
  <c r="E2" i="3" s="1"/>
  <c r="A2" i="3"/>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AL5" i="1" l="1"/>
  <c r="AL99" i="1"/>
  <c r="AL98" i="1"/>
  <c r="AL97" i="1"/>
  <c r="AL100" i="1"/>
  <c r="AL4" i="1"/>
  <c r="AP81" i="1"/>
  <c r="AQ81" i="1" s="1"/>
  <c r="AP80" i="1"/>
  <c r="AQ80" i="1" s="1"/>
  <c r="AP79" i="1"/>
  <c r="AQ79" i="1" s="1"/>
  <c r="AP44" i="1"/>
  <c r="AQ44" i="1" s="1"/>
  <c r="AP43" i="1"/>
  <c r="AQ43" i="1" s="1"/>
  <c r="AP33" i="1"/>
  <c r="AQ33" i="1" s="1"/>
  <c r="AP32" i="1"/>
  <c r="AQ32" i="1" s="1"/>
  <c r="AP31" i="1"/>
  <c r="AQ31" i="1" s="1"/>
  <c r="AL96" i="1"/>
  <c r="AP92" i="1"/>
  <c r="AQ92" i="1" s="1"/>
  <c r="AP91" i="1"/>
  <c r="AQ91" i="1" s="1"/>
  <c r="AO83" i="1"/>
  <c r="AP83" i="1" s="1"/>
  <c r="AQ83" i="1" s="1"/>
  <c r="AO71" i="1"/>
  <c r="AP71" i="1" s="1"/>
  <c r="AQ71" i="1" s="1"/>
  <c r="AO59" i="1"/>
  <c r="AP59" i="1" s="1"/>
  <c r="AQ59" i="1" s="1"/>
  <c r="AO47" i="1"/>
  <c r="AP47" i="1"/>
  <c r="AQ47" i="1" s="1"/>
  <c r="AO35" i="1"/>
  <c r="AP35" i="1" s="1"/>
  <c r="AQ35" i="1" s="1"/>
  <c r="AO23" i="1"/>
  <c r="AP23" i="1" s="1"/>
  <c r="AQ23" i="1" s="1"/>
  <c r="AO11" i="1"/>
  <c r="AP11" i="1" s="1"/>
  <c r="AQ11" i="1" s="1"/>
  <c r="AL84" i="1"/>
  <c r="AL72" i="1"/>
  <c r="AL60" i="1"/>
  <c r="AL48" i="1"/>
  <c r="AL36" i="1"/>
  <c r="AL24" i="1"/>
  <c r="AL12" i="1"/>
  <c r="AO95" i="1"/>
  <c r="AP95" i="1" s="1"/>
  <c r="AQ95" i="1" s="1"/>
  <c r="AL95" i="1"/>
  <c r="AL87" i="1"/>
  <c r="AL88" i="1"/>
  <c r="AL89" i="1"/>
  <c r="AL71" i="1"/>
  <c r="AL63" i="1"/>
  <c r="AL64" i="1"/>
  <c r="AL65" i="1"/>
  <c r="AL59" i="1"/>
  <c r="AL51" i="1"/>
  <c r="AL47" i="1"/>
  <c r="AL39" i="1"/>
  <c r="AL40" i="1"/>
  <c r="AL41" i="1"/>
  <c r="AL35" i="1"/>
  <c r="AL27" i="1"/>
  <c r="AL28" i="1"/>
  <c r="AL29" i="1"/>
  <c r="AL23" i="1"/>
  <c r="AL15" i="1"/>
  <c r="AL16" i="1"/>
  <c r="AL17" i="1"/>
  <c r="AL11" i="1"/>
  <c r="AL3" i="1"/>
  <c r="AL83" i="1"/>
  <c r="AL75" i="1"/>
  <c r="AL76" i="1"/>
  <c r="AL77" i="1"/>
  <c r="AL94" i="1"/>
  <c r="AL74" i="1"/>
  <c r="AL70" i="1"/>
  <c r="AL53" i="1"/>
  <c r="AL52" i="1"/>
  <c r="AO96" i="1"/>
  <c r="AP96" i="1"/>
  <c r="AQ96" i="1" s="1"/>
  <c r="AO84" i="1"/>
  <c r="AP84" i="1" s="1"/>
  <c r="AQ84" i="1" s="1"/>
  <c r="AO72" i="1"/>
  <c r="AP72" i="1" s="1"/>
  <c r="AQ72" i="1" s="1"/>
  <c r="AO60" i="1"/>
  <c r="AP60" i="1" s="1"/>
  <c r="AQ60" i="1" s="1"/>
  <c r="AO48" i="1"/>
  <c r="AP48" i="1" s="1"/>
  <c r="AQ48" i="1" s="1"/>
  <c r="AO36" i="1"/>
  <c r="AP36" i="1" s="1"/>
  <c r="AQ36" i="1" s="1"/>
  <c r="AO24" i="1"/>
  <c r="AP24" i="1" s="1"/>
  <c r="AQ24" i="1" s="1"/>
  <c r="AO12" i="1"/>
  <c r="AP12" i="1" s="1"/>
  <c r="AQ12" i="1" s="1"/>
  <c r="AL58" i="1"/>
  <c r="AL46" i="1"/>
  <c r="AL26" i="1"/>
  <c r="AL22" i="1"/>
  <c r="AL2" i="1"/>
  <c r="AP46" i="1"/>
  <c r="AQ46" i="1" s="1"/>
  <c r="AP22" i="1"/>
  <c r="AQ22" i="1" s="1"/>
  <c r="AL93" i="1"/>
  <c r="AL81" i="1"/>
  <c r="AL69" i="1"/>
  <c r="AL57" i="1"/>
  <c r="AL45" i="1"/>
  <c r="AL33" i="1"/>
  <c r="AL21" i="1"/>
  <c r="AL9" i="1"/>
  <c r="AL92" i="1"/>
  <c r="AL80" i="1"/>
  <c r="AL68" i="1"/>
  <c r="AL56" i="1"/>
  <c r="AL44" i="1"/>
  <c r="AL32" i="1"/>
  <c r="AL20" i="1"/>
  <c r="AL8" i="1"/>
  <c r="AL91" i="1"/>
  <c r="AL79" i="1"/>
  <c r="AL67" i="1"/>
  <c r="AL55" i="1"/>
  <c r="AL43" i="1"/>
  <c r="AL31" i="1"/>
  <c r="AL19" i="1"/>
  <c r="AL7" i="1"/>
  <c r="AL90" i="1"/>
  <c r="AL78" i="1"/>
  <c r="AL66" i="1"/>
  <c r="AL54" i="1"/>
  <c r="AL42" i="1"/>
  <c r="AL30" i="1"/>
  <c r="AL18" i="1"/>
  <c r="AL6" i="1"/>
  <c r="AL85" i="1"/>
  <c r="AL73" i="1"/>
  <c r="AL61" i="1"/>
  <c r="AL49" i="1"/>
  <c r="AL37" i="1"/>
  <c r="AL25" i="1"/>
  <c r="AL13" i="1"/>
  <c r="AO97" i="1"/>
  <c r="AP97" i="1" s="1"/>
  <c r="AQ97" i="1" s="1"/>
  <c r="AO85" i="1"/>
  <c r="AP85" i="1"/>
  <c r="AQ85" i="1" s="1"/>
  <c r="AO73" i="1"/>
  <c r="AP73" i="1"/>
  <c r="AQ73" i="1" s="1"/>
  <c r="AO61" i="1"/>
  <c r="AP61" i="1" s="1"/>
  <c r="AQ61" i="1" s="1"/>
  <c r="AO49" i="1"/>
  <c r="AP49" i="1"/>
  <c r="AQ49" i="1" s="1"/>
  <c r="AO37" i="1"/>
  <c r="AP37" i="1" s="1"/>
  <c r="AQ37" i="1" s="1"/>
  <c r="AO25" i="1"/>
  <c r="AP25" i="1" s="1"/>
  <c r="AQ25" i="1" s="1"/>
  <c r="AO13" i="1"/>
  <c r="AP13" i="1" s="1"/>
  <c r="AQ13" i="1" s="1"/>
  <c r="AL62" i="1"/>
  <c r="AL14" i="1"/>
  <c r="AL82" i="1"/>
  <c r="AL34" i="1"/>
  <c r="AO94" i="1"/>
  <c r="AP94" i="1" s="1"/>
  <c r="AQ94" i="1" s="1"/>
  <c r="AO58" i="1"/>
  <c r="AP58" i="1" s="1"/>
  <c r="AQ58" i="1" s="1"/>
  <c r="AO34" i="1"/>
  <c r="AP34" i="1" s="1"/>
  <c r="AQ34" i="1" s="1"/>
  <c r="AO10" i="1"/>
  <c r="AP10" i="1" s="1"/>
  <c r="AQ10" i="1" s="1"/>
  <c r="AL86" i="1"/>
  <c r="AL38" i="1"/>
  <c r="AL10" i="1"/>
  <c r="AO70" i="1"/>
  <c r="AP70" i="1" s="1"/>
  <c r="AQ70" i="1" s="1"/>
  <c r="AO46" i="1"/>
  <c r="AO22" i="1"/>
  <c r="AL50" i="1"/>
  <c r="AO82" i="1"/>
  <c r="AP82" i="1" s="1"/>
  <c r="AQ8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<sst xmlns="http://schemas.openxmlformats.org/spreadsheetml/2006/main" count="1846" uniqueCount="701">
  <si>
    <t>Row ID</t>
  </si>
  <si>
    <t>Order ID</t>
  </si>
  <si>
    <t>Order Date</t>
  </si>
  <si>
    <t>Ship Date</t>
  </si>
  <si>
    <t>Ship Mode</t>
  </si>
  <si>
    <t>customer ID</t>
  </si>
  <si>
    <t>Customer Name</t>
  </si>
  <si>
    <t>Segment</t>
  </si>
  <si>
    <t>City</t>
  </si>
  <si>
    <t>State</t>
  </si>
  <si>
    <t>Country</t>
  </si>
  <si>
    <t>Postal Code</t>
  </si>
  <si>
    <t>Market</t>
  </si>
  <si>
    <t>Region</t>
  </si>
  <si>
    <t>Product ID</t>
  </si>
  <si>
    <t>Category_Encoded</t>
  </si>
  <si>
    <t>Product Name</t>
  </si>
  <si>
    <t>Unit_Price</t>
  </si>
  <si>
    <t>Quantity</t>
  </si>
  <si>
    <t>Discount_Percentage</t>
  </si>
  <si>
    <t>Profit</t>
  </si>
  <si>
    <t>Shipping Cost</t>
  </si>
  <si>
    <t>Order Priority</t>
  </si>
  <si>
    <t>Year</t>
  </si>
  <si>
    <t>Payment_Mode</t>
  </si>
  <si>
    <t>CA-2025-771155</t>
  </si>
  <si>
    <t>CA-2023-465838</t>
  </si>
  <si>
    <t>CA-2025-744167</t>
  </si>
  <si>
    <t>CA-2023-832180</t>
  </si>
  <si>
    <t>CA-2025-237337</t>
  </si>
  <si>
    <t>CA-2025-621430</t>
  </si>
  <si>
    <t>CA-2025-187498</t>
  </si>
  <si>
    <t>CA-2023-275203</t>
  </si>
  <si>
    <t>CA-2025-429365</t>
  </si>
  <si>
    <t>CA-2023-887201</t>
  </si>
  <si>
    <t>CA-2024-876997</t>
  </si>
  <si>
    <t>CA-2024-891743</t>
  </si>
  <si>
    <t>CA-2023-314176</t>
  </si>
  <si>
    <t>CA-2024-521909</t>
  </si>
  <si>
    <t>CA-2023-358795</t>
  </si>
  <si>
    <t>CA-2023-600186</t>
  </si>
  <si>
    <t>CA-2025-970910</t>
  </si>
  <si>
    <t>CA-2024-249503</t>
  </si>
  <si>
    <t>CA-2025-165725</t>
  </si>
  <si>
    <t>CA-2024-184654</t>
  </si>
  <si>
    <t>CA-2024-691723</t>
  </si>
  <si>
    <t>CA-2025-428947</t>
  </si>
  <si>
    <t>CA-2023-373538</t>
  </si>
  <si>
    <t>CA-2023-628178</t>
  </si>
  <si>
    <t>CA-2025-589492</t>
  </si>
  <si>
    <t>CA-2023-573254</t>
  </si>
  <si>
    <t>CA-2024-765987</t>
  </si>
  <si>
    <t>CA-2023-339931</t>
  </si>
  <si>
    <t>CA-2024-305041</t>
  </si>
  <si>
    <t>CA-2024-831912</t>
  </si>
  <si>
    <t>CA-2024-168148</t>
  </si>
  <si>
    <t>CA-2024-748531</t>
  </si>
  <si>
    <t>CA-2025-778843</t>
  </si>
  <si>
    <t>CA-2025-672843</t>
  </si>
  <si>
    <t>CA-2023-903591</t>
  </si>
  <si>
    <t>CA-2025-206530</t>
  </si>
  <si>
    <t>CA-2024-922352</t>
  </si>
  <si>
    <t>CA-2024-824839</t>
  </si>
  <si>
    <t>CA-2024-559773</t>
  </si>
  <si>
    <t>CA-2024-864469</t>
  </si>
  <si>
    <t>CA-2024-415139</t>
  </si>
  <si>
    <t>CA-2024-371836</t>
  </si>
  <si>
    <t>CA-2025-302283</t>
  </si>
  <si>
    <t>CA-2024-661353</t>
  </si>
  <si>
    <t>CA-2024-723587</t>
  </si>
  <si>
    <t>CA-2024-635822</t>
  </si>
  <si>
    <t>CA-2024-882038</t>
  </si>
  <si>
    <t>CA-2023-679879</t>
  </si>
  <si>
    <t>CA-2023-123247</t>
  </si>
  <si>
    <t>CA-2023-567281</t>
  </si>
  <si>
    <t>CA-2025-633556</t>
  </si>
  <si>
    <t>CA-2024-819064</t>
  </si>
  <si>
    <t>CA-2023-336584</t>
  </si>
  <si>
    <t>CA-2023-937646</t>
  </si>
  <si>
    <t>CA-2023-476896</t>
  </si>
  <si>
    <t>CA-2023-402918</t>
  </si>
  <si>
    <t>CA-2023-220151</t>
  </si>
  <si>
    <t>CA-2023-233767</t>
  </si>
  <si>
    <t>CA-2025-236330</t>
  </si>
  <si>
    <t>CA-2025-401648</t>
  </si>
  <si>
    <t>CA-2025-686146</t>
  </si>
  <si>
    <t>CA-2023-112666</t>
  </si>
  <si>
    <t>CA-2023-234633</t>
  </si>
  <si>
    <t>CA-2025-950937</t>
  </si>
  <si>
    <t>CA-2023-807611</t>
  </si>
  <si>
    <t>CA-2025-894824</t>
  </si>
  <si>
    <t>CA-2024-938688</t>
  </si>
  <si>
    <t>CA-2025-921654</t>
  </si>
  <si>
    <t>CA-2024-747972</t>
  </si>
  <si>
    <t>CA-2025-556551</t>
  </si>
  <si>
    <t>CA-2024-124538</t>
  </si>
  <si>
    <t>CA-2025-301664</t>
  </si>
  <si>
    <t>CA-2025-999684</t>
  </si>
  <si>
    <t>CA-2025-572525</t>
  </si>
  <si>
    <t>CA-2025-284064</t>
  </si>
  <si>
    <t>CA-2023-723094</t>
  </si>
  <si>
    <t>CA-2025-997421</t>
  </si>
  <si>
    <t>CA-2025-745914</t>
  </si>
  <si>
    <t>CA-2023-318126</t>
  </si>
  <si>
    <t>CA-2024-222409</t>
  </si>
  <si>
    <t>CA-2023-353618</t>
  </si>
  <si>
    <t>CA-2025-150015</t>
  </si>
  <si>
    <t>CA-2025-222096</t>
  </si>
  <si>
    <t>CA-2023-210687</t>
  </si>
  <si>
    <t>CA-2024-835716</t>
  </si>
  <si>
    <t>CA-2025-827270</t>
  </si>
  <si>
    <t>CA-2023-298286</t>
  </si>
  <si>
    <t>CA-2025-874684</t>
  </si>
  <si>
    <t>CA-2023-424767</t>
  </si>
  <si>
    <t>CA-2025-961882</t>
  </si>
  <si>
    <t>CA-2025-479989</t>
  </si>
  <si>
    <t>CA-2024-471369</t>
  </si>
  <si>
    <t>CA-2023-542296</t>
  </si>
  <si>
    <t>CA-2023-626981</t>
  </si>
  <si>
    <t>CA-2024-252906</t>
  </si>
  <si>
    <t>CA-2024-175766</t>
  </si>
  <si>
    <t>CA-2023-668550</t>
  </si>
  <si>
    <t>CA-2024-910208</t>
  </si>
  <si>
    <t>CA-2023-752664</t>
  </si>
  <si>
    <t>CA-2025-554589</t>
  </si>
  <si>
    <t>01/01/2025</t>
  </si>
  <si>
    <t>2025-01-04</t>
  </si>
  <si>
    <t>2025-01-08</t>
  </si>
  <si>
    <t>2025-01-12</t>
  </si>
  <si>
    <t>2025-01-15</t>
  </si>
  <si>
    <t>2025-01-19</t>
  </si>
  <si>
    <t>2025-01-23</t>
  </si>
  <si>
    <t>2025-01-26</t>
  </si>
  <si>
    <t>2025-01-30</t>
  </si>
  <si>
    <t>2025-02-03</t>
  </si>
  <si>
    <t>2025-02-06</t>
  </si>
  <si>
    <t>2025-02-10</t>
  </si>
  <si>
    <t>2025-02-14</t>
  </si>
  <si>
    <t>2025-02-17</t>
  </si>
  <si>
    <t>2025-02-21</t>
  </si>
  <si>
    <t>2025-02-25</t>
  </si>
  <si>
    <t>2025-02-28</t>
  </si>
  <si>
    <t>2025-03-04</t>
  </si>
  <si>
    <t>2025-03-08</t>
  </si>
  <si>
    <t>2025-03-11</t>
  </si>
  <si>
    <t>2025-03-15</t>
  </si>
  <si>
    <t>2025-03-19</t>
  </si>
  <si>
    <t>2025-03-22</t>
  </si>
  <si>
    <t>26/03/2025</t>
  </si>
  <si>
    <t>2025-03-30</t>
  </si>
  <si>
    <t>2025-04-02</t>
  </si>
  <si>
    <t>2025-04-06</t>
  </si>
  <si>
    <t>2025-04-10</t>
  </si>
  <si>
    <t>2025-04-13</t>
  </si>
  <si>
    <t>2025-04-17</t>
  </si>
  <si>
    <t>2025-04-21</t>
  </si>
  <si>
    <t>2025-04-24</t>
  </si>
  <si>
    <t>2025-04-28</t>
  </si>
  <si>
    <t>2025-05-02</t>
  </si>
  <si>
    <t>2025-05-06</t>
  </si>
  <si>
    <t>2025-05-09</t>
  </si>
  <si>
    <t>2025-05-13</t>
  </si>
  <si>
    <t>2025-05-17</t>
  </si>
  <si>
    <t>2025-05-20</t>
  </si>
  <si>
    <t>2025-05-24</t>
  </si>
  <si>
    <t>2025-05-28</t>
  </si>
  <si>
    <t>2025-05-31</t>
  </si>
  <si>
    <t>2025-06-04</t>
  </si>
  <si>
    <t>2025-06-08</t>
  </si>
  <si>
    <t>2025-06-11</t>
  </si>
  <si>
    <t>2025-06-15</t>
  </si>
  <si>
    <t>2025-06-19</t>
  </si>
  <si>
    <t>2025-06-22</t>
  </si>
  <si>
    <t>2025-06-26</t>
  </si>
  <si>
    <t>2025-06-30</t>
  </si>
  <si>
    <t>2025-07-03</t>
  </si>
  <si>
    <t>2025-07-07</t>
  </si>
  <si>
    <t>2025-07-11</t>
  </si>
  <si>
    <t>2025-07-14</t>
  </si>
  <si>
    <t>2025-07-18</t>
  </si>
  <si>
    <t>2025-07-22</t>
  </si>
  <si>
    <t>2025-07-25</t>
  </si>
  <si>
    <t>2025-07-29</t>
  </si>
  <si>
    <t>2025-08-02</t>
  </si>
  <si>
    <t>2025-08-05</t>
  </si>
  <si>
    <t>2025-08-09</t>
  </si>
  <si>
    <t>2025-08-13</t>
  </si>
  <si>
    <t>2025-08-16</t>
  </si>
  <si>
    <t>2025-08-20</t>
  </si>
  <si>
    <t>2025-08-24</t>
  </si>
  <si>
    <t>2025-08-27</t>
  </si>
  <si>
    <t>2025-08-31</t>
  </si>
  <si>
    <t>2025-09-04</t>
  </si>
  <si>
    <t>2025-09-08</t>
  </si>
  <si>
    <t>2025-09-11</t>
  </si>
  <si>
    <t>2025-09-15</t>
  </si>
  <si>
    <t>2025-09-19</t>
  </si>
  <si>
    <t>2025-09-22</t>
  </si>
  <si>
    <t>2025-09-26</t>
  </si>
  <si>
    <t>2025-09-30</t>
  </si>
  <si>
    <t>2025-10-03</t>
  </si>
  <si>
    <t>2025-10-07</t>
  </si>
  <si>
    <t>2025-10-11</t>
  </si>
  <si>
    <t>2025-10-14</t>
  </si>
  <si>
    <t>2025-10-18</t>
  </si>
  <si>
    <t>2025-10-22</t>
  </si>
  <si>
    <t>2025-10-25</t>
  </si>
  <si>
    <t>2025-10-29</t>
  </si>
  <si>
    <t>2025-11-02</t>
  </si>
  <si>
    <t>2025-11-05</t>
  </si>
  <si>
    <t>2025-11-09</t>
  </si>
  <si>
    <t>2025-11-13</t>
  </si>
  <si>
    <t>2025-11-16</t>
  </si>
  <si>
    <t>2025-11-20</t>
  </si>
  <si>
    <t>24/11/2025</t>
  </si>
  <si>
    <t>2025-11-27</t>
  </si>
  <si>
    <t>2025-12-01</t>
  </si>
  <si>
    <t>2025-12-05</t>
  </si>
  <si>
    <t>2025-12-08</t>
  </si>
  <si>
    <t>2025-12-12</t>
  </si>
  <si>
    <t>2025-12-16</t>
  </si>
  <si>
    <t>2025-12-19</t>
  </si>
  <si>
    <t>2025-12-23</t>
  </si>
  <si>
    <t>2025-12-27</t>
  </si>
  <si>
    <t>2025-12-31</t>
  </si>
  <si>
    <t>2025-01-07</t>
  </si>
  <si>
    <t>2025-01-10</t>
  </si>
  <si>
    <t>2025-01-14</t>
  </si>
  <si>
    <t>2025-01-17</t>
  </si>
  <si>
    <t>2025-01-18</t>
  </si>
  <si>
    <t>2025-01-25</t>
  </si>
  <si>
    <t>2025-01-29</t>
  </si>
  <si>
    <t>2025-02-01</t>
  </si>
  <si>
    <t>2025-02-08</t>
  </si>
  <si>
    <t>2025-02-12</t>
  </si>
  <si>
    <t>2025-02-11</t>
  </si>
  <si>
    <t>2025-02-18</t>
  </si>
  <si>
    <t>26/02/2025</t>
  </si>
  <si>
    <t>2025-03-01</t>
  </si>
  <si>
    <t>2025-03-05</t>
  </si>
  <si>
    <t>2025-03-07</t>
  </si>
  <si>
    <t>2025-03-12</t>
  </si>
  <si>
    <t>2025-03-14</t>
  </si>
  <si>
    <t>2025-03-16</t>
  </si>
  <si>
    <t>2025-03-20</t>
  </si>
  <si>
    <t>2025-03-26</t>
  </si>
  <si>
    <t>2025-04-05</t>
  </si>
  <si>
    <t>2025-04-07</t>
  </si>
  <si>
    <t>2025-04-12</t>
  </si>
  <si>
    <t>2025-04-15</t>
  </si>
  <si>
    <t>2025-04-19</t>
  </si>
  <si>
    <t>2025-04-20</t>
  </si>
  <si>
    <t>2025-04-25</t>
  </si>
  <si>
    <t>2025-05-03</t>
  </si>
  <si>
    <t>2025-05-07</t>
  </si>
  <si>
    <t>15/05/2025</t>
  </si>
  <si>
    <t>2025-05-18</t>
  </si>
  <si>
    <t>2025-05-25</t>
  </si>
  <si>
    <t>2025-06-01</t>
  </si>
  <si>
    <t>2025-06-05</t>
  </si>
  <si>
    <t>2025-06-09</t>
  </si>
  <si>
    <t>2025-06-14</t>
  </si>
  <si>
    <t>17/06/2025</t>
  </si>
  <si>
    <t>2025-06-20</t>
  </si>
  <si>
    <t>2025-06-24</t>
  </si>
  <si>
    <t>2025-07-02</t>
  </si>
  <si>
    <t>2025-07-06</t>
  </si>
  <si>
    <t>13/07/2025</t>
  </si>
  <si>
    <t>2025-07-13</t>
  </si>
  <si>
    <t>2025-07-20</t>
  </si>
  <si>
    <t>25/07/2025</t>
  </si>
  <si>
    <t>2025-07-27</t>
  </si>
  <si>
    <t>2025-07-31</t>
  </si>
  <si>
    <t>2025-08-04</t>
  </si>
  <si>
    <t>2025-08-06</t>
  </si>
  <si>
    <t>2025-08-10</t>
  </si>
  <si>
    <t>2025-08-14</t>
  </si>
  <si>
    <t>2025-08-19</t>
  </si>
  <si>
    <t>2025-08-26</t>
  </si>
  <si>
    <t>2025-08-29</t>
  </si>
  <si>
    <t>2025-09-02</t>
  </si>
  <si>
    <t>2025-09-07</t>
  </si>
  <si>
    <t>2025-09-10</t>
  </si>
  <si>
    <t>2025-09-12</t>
  </si>
  <si>
    <t>2025-09-20</t>
  </si>
  <si>
    <t>2025-09-23</t>
  </si>
  <si>
    <t>2025-09-24</t>
  </si>
  <si>
    <t>2025-09-27</t>
  </si>
  <si>
    <t>2025-10-04</t>
  </si>
  <si>
    <t>2025-10-08</t>
  </si>
  <si>
    <t>2025-10-12</t>
  </si>
  <si>
    <t>20/10/2025</t>
  </si>
  <si>
    <t>2025-10-24</t>
  </si>
  <si>
    <t>2025-10-26</t>
  </si>
  <si>
    <t>2025-10-28</t>
  </si>
  <si>
    <t>2025-11-04</t>
  </si>
  <si>
    <t>2025-11-07</t>
  </si>
  <si>
    <t>2025-11-15</t>
  </si>
  <si>
    <t>2025-11-17</t>
  </si>
  <si>
    <t>2025-11-22</t>
  </si>
  <si>
    <t>2025-11-30</t>
  </si>
  <si>
    <t>02/12/2025</t>
  </si>
  <si>
    <t>2025-12-07</t>
  </si>
  <si>
    <t>2025-12-10</t>
  </si>
  <si>
    <t>2025-12-18</t>
  </si>
  <si>
    <t>2025-12-17</t>
  </si>
  <si>
    <t>2025-12-25</t>
  </si>
  <si>
    <t>2026-01-02</t>
  </si>
  <si>
    <t>2026-01-06</t>
  </si>
  <si>
    <t>Same Day</t>
  </si>
  <si>
    <t>First Class</t>
  </si>
  <si>
    <t>Standard Class</t>
  </si>
  <si>
    <t>Second Class</t>
  </si>
  <si>
    <t>AB-40370</t>
  </si>
  <si>
    <t>AB-65786</t>
  </si>
  <si>
    <t>AB-67814</t>
  </si>
  <si>
    <t>AB-23131</t>
  </si>
  <si>
    <t>AB-35485</t>
  </si>
  <si>
    <t>AB-52359</t>
  </si>
  <si>
    <t>AB-52933</t>
  </si>
  <si>
    <t>AB-62239</t>
  </si>
  <si>
    <t>AB-49313</t>
  </si>
  <si>
    <t>AB-90234</t>
  </si>
  <si>
    <t>AB-71644</t>
  </si>
  <si>
    <t>AB-76055</t>
  </si>
  <si>
    <t>AB-38031</t>
  </si>
  <si>
    <t>AB-33975</t>
  </si>
  <si>
    <t>AB-43606</t>
  </si>
  <si>
    <t>AB-92863</t>
  </si>
  <si>
    <t>AB-77656</t>
  </si>
  <si>
    <t>AB-46410</t>
  </si>
  <si>
    <t>AB-32715</t>
  </si>
  <si>
    <t>AB-44635</t>
  </si>
  <si>
    <t>AB-30574</t>
  </si>
  <si>
    <t>AB-71657</t>
  </si>
  <si>
    <t>AB-86554</t>
  </si>
  <si>
    <t>AB-31747</t>
  </si>
  <si>
    <t>AB-40369</t>
  </si>
  <si>
    <t>AB-23858</t>
  </si>
  <si>
    <t>AB-81741</t>
  </si>
  <si>
    <t>AB-27655</t>
  </si>
  <si>
    <t>AB-62543</t>
  </si>
  <si>
    <t>AB-48428</t>
  </si>
  <si>
    <t>AB-62653</t>
  </si>
  <si>
    <t>AB-62751</t>
  </si>
  <si>
    <t>AB-78881</t>
  </si>
  <si>
    <t>AB-29102</t>
  </si>
  <si>
    <t>AB-51445</t>
  </si>
  <si>
    <t>AB-34519</t>
  </si>
  <si>
    <t>AB-17129</t>
  </si>
  <si>
    <t>AB-88874</t>
  </si>
  <si>
    <t>AB-20990</t>
  </si>
  <si>
    <t>AB-21038</t>
  </si>
  <si>
    <t>AB-31462</t>
  </si>
  <si>
    <t>AB-33974</t>
  </si>
  <si>
    <t>AB-76218</t>
  </si>
  <si>
    <t>AB-39718</t>
  </si>
  <si>
    <t>AB-19352</t>
  </si>
  <si>
    <t>AB-56442</t>
  </si>
  <si>
    <t>AB-71544</t>
  </si>
  <si>
    <t>AB-94680</t>
  </si>
  <si>
    <t>AB-41936</t>
  </si>
  <si>
    <t>AB-43322</t>
  </si>
  <si>
    <t>AB-37370</t>
  </si>
  <si>
    <t>AB-14850</t>
  </si>
  <si>
    <t>AB-30174</t>
  </si>
  <si>
    <t>AB-57620</t>
  </si>
  <si>
    <t>AB-48103</t>
  </si>
  <si>
    <t>AB-88767</t>
  </si>
  <si>
    <t>AB-65299</t>
  </si>
  <si>
    <t>AB-67058</t>
  </si>
  <si>
    <t>AB-45562</t>
  </si>
  <si>
    <t>AB-92859</t>
  </si>
  <si>
    <t>AB-37547</t>
  </si>
  <si>
    <t>AB-44364</t>
  </si>
  <si>
    <t>AB-55460</t>
  </si>
  <si>
    <t>AB-15728</t>
  </si>
  <si>
    <t>AB-66193</t>
  </si>
  <si>
    <t>AB-59422</t>
  </si>
  <si>
    <t>AB-80355</t>
  </si>
  <si>
    <t>AB-61005</t>
  </si>
  <si>
    <t>AB-85687</t>
  </si>
  <si>
    <t>AB-75560</t>
  </si>
  <si>
    <t>AB-94806</t>
  </si>
  <si>
    <t>AB-68156</t>
  </si>
  <si>
    <t>AB-33808</t>
  </si>
  <si>
    <t>AB-66585</t>
  </si>
  <si>
    <t>AB-47907</t>
  </si>
  <si>
    <t>AB-11030</t>
  </si>
  <si>
    <t>AB-71828</t>
  </si>
  <si>
    <t>AB-37727</t>
  </si>
  <si>
    <t>AB-18430</t>
  </si>
  <si>
    <t>AB-72307</t>
  </si>
  <si>
    <t>AB-33848</t>
  </si>
  <si>
    <t>AB-14173</t>
  </si>
  <si>
    <t>AB-72695</t>
  </si>
  <si>
    <t>AB-30324</t>
  </si>
  <si>
    <t>AB-16985</t>
  </si>
  <si>
    <t>AB-82489</t>
  </si>
  <si>
    <t>AB-96719</t>
  </si>
  <si>
    <t>AB-56555</t>
  </si>
  <si>
    <t>AB-30399</t>
  </si>
  <si>
    <t>AB-28032</t>
  </si>
  <si>
    <t>AB-85895</t>
  </si>
  <si>
    <t>AB-18717</t>
  </si>
  <si>
    <t>AB-10399</t>
  </si>
  <si>
    <t>AB-10419</t>
  </si>
  <si>
    <t>AB-50958</t>
  </si>
  <si>
    <t>AB-57941</t>
  </si>
  <si>
    <t>AB-39204</t>
  </si>
  <si>
    <t>AB-22778</t>
  </si>
  <si>
    <t>AB-28399</t>
  </si>
  <si>
    <t>AB-70115</t>
  </si>
  <si>
    <t>Arjun Jain</t>
  </si>
  <si>
    <t>Aditya Mehta</t>
  </si>
  <si>
    <t>Arjun Mehta</t>
  </si>
  <si>
    <t>Arjun Nair</t>
  </si>
  <si>
    <t>Ishaan Gupta</t>
  </si>
  <si>
    <t>Rohan Mehta</t>
  </si>
  <si>
    <t>Aarya Iyer</t>
  </si>
  <si>
    <t>Aarya Sharma</t>
  </si>
  <si>
    <t>Rahul Malhotra</t>
  </si>
  <si>
    <t>Aarav Sharma</t>
  </si>
  <si>
    <t>Ayaan Verma</t>
  </si>
  <si>
    <t>Ayaan Patel</t>
  </si>
  <si>
    <t>Vivaan Jain</t>
  </si>
  <si>
    <t>Aditya Verma</t>
  </si>
  <si>
    <t>Saanvi Sharma</t>
  </si>
  <si>
    <t>saanvi mehta</t>
  </si>
  <si>
    <t>rohan patel</t>
  </si>
  <si>
    <t>priya mehta</t>
  </si>
  <si>
    <t>aarya verma</t>
  </si>
  <si>
    <t>Diya Gupta</t>
  </si>
  <si>
    <t>Reyansh Jain</t>
  </si>
  <si>
    <t>Amit Verma</t>
  </si>
  <si>
    <t>Amit Gupta</t>
  </si>
  <si>
    <t>Vivaan Malhotra</t>
  </si>
  <si>
    <t>Sai Sharma</t>
  </si>
  <si>
    <t>Priya Patel</t>
  </si>
  <si>
    <t>Vihaan Nair</t>
  </si>
  <si>
    <t>Rohan Nair</t>
  </si>
  <si>
    <t>Rohan Malhotra</t>
  </si>
  <si>
    <t>Arjun Verma</t>
  </si>
  <si>
    <t>Sai Mehta</t>
  </si>
  <si>
    <t>Vivaan Gupta</t>
  </si>
  <si>
    <t>Priya Iyer</t>
  </si>
  <si>
    <t>Neha Jain</t>
  </si>
  <si>
    <t>Neha Reddy</t>
  </si>
  <si>
    <t>Vihaan Reddy</t>
  </si>
  <si>
    <t>Aditya Gupta</t>
  </si>
  <si>
    <t>Amit Nair</t>
  </si>
  <si>
    <t>Rahul Gupta</t>
  </si>
  <si>
    <t>Ishaan Jain</t>
  </si>
  <si>
    <t>Arjun Iyer</t>
  </si>
  <si>
    <t>Saanvi Nair</t>
  </si>
  <si>
    <t>Aarya Verma</t>
  </si>
  <si>
    <t>Ananya Iyer</t>
  </si>
  <si>
    <t>Priya Reddy</t>
  </si>
  <si>
    <t>Diya Sharma</t>
  </si>
  <si>
    <t>Vihaan Sharma</t>
  </si>
  <si>
    <t>Ayaan Sharma</t>
  </si>
  <si>
    <t>Aditya Malhotra</t>
  </si>
  <si>
    <t>Aarya Nair</t>
  </si>
  <si>
    <t>Aarya Reddy</t>
  </si>
  <si>
    <t>Vivaan Nair</t>
  </si>
  <si>
    <t>Rahul Patel</t>
  </si>
  <si>
    <t>Aditya Patel</t>
  </si>
  <si>
    <t>Sai Gupta</t>
  </si>
  <si>
    <t>Rahul Iyer</t>
  </si>
  <si>
    <t>Reyansh Iyer</t>
  </si>
  <si>
    <t>Rohan Patel</t>
  </si>
  <si>
    <t>Saanvi Iyer</t>
  </si>
  <si>
    <t>Aditya Iyer</t>
  </si>
  <si>
    <t>Ananya Verma</t>
  </si>
  <si>
    <t>Priya Malhotra</t>
  </si>
  <si>
    <t>Priya Jain</t>
  </si>
  <si>
    <t>Vivaan Reddy</t>
  </si>
  <si>
    <t>Saanvi Gupta</t>
  </si>
  <si>
    <t>Ishaan Iyer</t>
  </si>
  <si>
    <t>Pooja Nair</t>
  </si>
  <si>
    <t>Ananya Jain</t>
  </si>
  <si>
    <t>Aarav Mehta</t>
  </si>
  <si>
    <t>Sai Jain</t>
  </si>
  <si>
    <t>Neha Malhotra</t>
  </si>
  <si>
    <t>Diya Reddy</t>
  </si>
  <si>
    <t>Krishna Patel</t>
  </si>
  <si>
    <t>Ayaan Mehta</t>
  </si>
  <si>
    <t>Sai Verma</t>
  </si>
  <si>
    <t>Pooja Malhotra</t>
  </si>
  <si>
    <t>Rohan Reddy</t>
  </si>
  <si>
    <t>Consumer</t>
  </si>
  <si>
    <t>Corporate</t>
  </si>
  <si>
    <t>Home Office</t>
  </si>
  <si>
    <t>Chennai</t>
  </si>
  <si>
    <t>Hyderabad</t>
  </si>
  <si>
    <t>Bengaluru</t>
  </si>
  <si>
    <t>Delhi</t>
  </si>
  <si>
    <t>Ahmedabad</t>
  </si>
  <si>
    <t>Mumbai</t>
  </si>
  <si>
    <t>Kolkata</t>
  </si>
  <si>
    <t>Pune</t>
  </si>
  <si>
    <t>Gujarat</t>
  </si>
  <si>
    <t>Telangana</t>
  </si>
  <si>
    <t>Maharashtra</t>
  </si>
  <si>
    <t>Tamil Nadu</t>
  </si>
  <si>
    <t>Karnataka</t>
  </si>
  <si>
    <t>West Bengal</t>
  </si>
  <si>
    <t>India</t>
  </si>
  <si>
    <t>APAC</t>
  </si>
  <si>
    <t>Central</t>
  </si>
  <si>
    <t>North</t>
  </si>
  <si>
    <t>East</t>
  </si>
  <si>
    <t>West</t>
  </si>
  <si>
    <t>South</t>
  </si>
  <si>
    <t>TEC-7316</t>
  </si>
  <si>
    <t>TEC-7469</t>
  </si>
  <si>
    <t>TEC-9915</t>
  </si>
  <si>
    <t>TEC-1224</t>
  </si>
  <si>
    <t>TEC-5208</t>
  </si>
  <si>
    <t>TEC-7283</t>
  </si>
  <si>
    <t>TEC-3048</t>
  </si>
  <si>
    <t>TEC-7233</t>
  </si>
  <si>
    <t>TEC-2828</t>
  </si>
  <si>
    <t>TEC-2917</t>
  </si>
  <si>
    <t>TEC-5234</t>
  </si>
  <si>
    <t>TEC-7988</t>
  </si>
  <si>
    <t>TEC-3026</t>
  </si>
  <si>
    <t>TEC-4744</t>
  </si>
  <si>
    <t>TEC-1009</t>
  </si>
  <si>
    <t>TEC-1260</t>
  </si>
  <si>
    <t>TEC-7038</t>
  </si>
  <si>
    <t>TEC-3219</t>
  </si>
  <si>
    <t>TEC-8041</t>
  </si>
  <si>
    <t>TEC-3060</t>
  </si>
  <si>
    <t>TEC-6287</t>
  </si>
  <si>
    <t>TEC-2619</t>
  </si>
  <si>
    <t>TEC-9512</t>
  </si>
  <si>
    <t>TEC-2342</t>
  </si>
  <si>
    <t>TEC-3832</t>
  </si>
  <si>
    <t>TEC-3824</t>
  </si>
  <si>
    <t>TEC-2994</t>
  </si>
  <si>
    <t>TEC-4490</t>
  </si>
  <si>
    <t>TEC-8984</t>
  </si>
  <si>
    <t>TEC-2604</t>
  </si>
  <si>
    <t>TEC-1235</t>
  </si>
  <si>
    <t>TEC-2908</t>
  </si>
  <si>
    <t>TEC-9567</t>
  </si>
  <si>
    <t>TEC-4530</t>
  </si>
  <si>
    <t>TEC-6256</t>
  </si>
  <si>
    <t>TEC-3635</t>
  </si>
  <si>
    <t>TEC-9162</t>
  </si>
  <si>
    <t>TEC-3560</t>
  </si>
  <si>
    <t>TEC-6415</t>
  </si>
  <si>
    <t>TEC-4391</t>
  </si>
  <si>
    <t>TEC-6951</t>
  </si>
  <si>
    <t>TEC-6468</t>
  </si>
  <si>
    <t>TEC-9007</t>
  </si>
  <si>
    <t>TEC-7413</t>
  </si>
  <si>
    <t>TEC-7941</t>
  </si>
  <si>
    <t>TEC-5820</t>
  </si>
  <si>
    <t>TEC-3898</t>
  </si>
  <si>
    <t>TEC-8546</t>
  </si>
  <si>
    <t>TEC-1077</t>
  </si>
  <si>
    <t>TEC-8577</t>
  </si>
  <si>
    <t>TEC-5227</t>
  </si>
  <si>
    <t>TEC-1600</t>
  </si>
  <si>
    <t>TEC-2065</t>
  </si>
  <si>
    <t>TEC-3136</t>
  </si>
  <si>
    <t>TEC-7943</t>
  </si>
  <si>
    <t>TEC-8804</t>
  </si>
  <si>
    <t>TEC-7565</t>
  </si>
  <si>
    <t>TEC-6984</t>
  </si>
  <si>
    <t>TEC-6142</t>
  </si>
  <si>
    <t>TEC-5670</t>
  </si>
  <si>
    <t>TEC-3190</t>
  </si>
  <si>
    <t>TEC-3712</t>
  </si>
  <si>
    <t>TEC-3192</t>
  </si>
  <si>
    <t>TEC-2248</t>
  </si>
  <si>
    <t>TEC-5033</t>
  </si>
  <si>
    <t>TEC-2997</t>
  </si>
  <si>
    <t>TEC-4687</t>
  </si>
  <si>
    <t>TEC-5018</t>
  </si>
  <si>
    <t>TEC-2970</t>
  </si>
  <si>
    <t>TEC-9389</t>
  </si>
  <si>
    <t>TEC-6765</t>
  </si>
  <si>
    <t>TEC-2202</t>
  </si>
  <si>
    <t>TEC-9135</t>
  </si>
  <si>
    <t>TEC-6567</t>
  </si>
  <si>
    <t>TEC-8667</t>
  </si>
  <si>
    <t>TEC-6742</t>
  </si>
  <si>
    <t>TEC-6788</t>
  </si>
  <si>
    <t>TEC-6408</t>
  </si>
  <si>
    <t>TEC-9669</t>
  </si>
  <si>
    <t>TEC-1922</t>
  </si>
  <si>
    <t>TEC-1419</t>
  </si>
  <si>
    <t>TEC-3204</t>
  </si>
  <si>
    <t>TEC-2120</t>
  </si>
  <si>
    <t>TEC-1950</t>
  </si>
  <si>
    <t>TEC-3336</t>
  </si>
  <si>
    <t>TEC-6373</t>
  </si>
  <si>
    <t>TEC-3243</t>
  </si>
  <si>
    <t>TEC-3645</t>
  </si>
  <si>
    <t>TEC-5612</t>
  </si>
  <si>
    <t>TEC-2865</t>
  </si>
  <si>
    <t>TEC-7028</t>
  </si>
  <si>
    <t>TEC-8326</t>
  </si>
  <si>
    <t>TEC-7371</t>
  </si>
  <si>
    <t>TEC-7359</t>
  </si>
  <si>
    <t>TEC-8863</t>
  </si>
  <si>
    <t>TEC-4228</t>
  </si>
  <si>
    <t>TEC-4719</t>
  </si>
  <si>
    <t>TEC-3371</t>
  </si>
  <si>
    <t>TEC-3891</t>
  </si>
  <si>
    <t>TEC-4756</t>
  </si>
  <si>
    <t>TEC::MON</t>
  </si>
  <si>
    <t>FUR::CH</t>
  </si>
  <si>
    <t>TEC::MSW</t>
  </si>
  <si>
    <t>FUR::TBL</t>
  </si>
  <si>
    <t xml:space="preserve">TEC::ph </t>
  </si>
  <si>
    <t>fur::tbl</t>
  </si>
  <si>
    <t>OFF:: bin</t>
  </si>
  <si>
    <t>TEC::PHHH</t>
  </si>
  <si>
    <t>OFF:BIN</t>
  </si>
  <si>
    <t>OFF::ART</t>
  </si>
  <si>
    <t>OFF::CAB</t>
  </si>
  <si>
    <t>OFF::BIN</t>
  </si>
  <si>
    <t>TEC::PH</t>
  </si>
  <si>
    <t>Office Chair</t>
  </si>
  <si>
    <t>Desk Organizer</t>
  </si>
  <si>
    <t>Smart Phone</t>
  </si>
  <si>
    <t>Wireless Mouse</t>
  </si>
  <si>
    <t>Whiteboard</t>
  </si>
  <si>
    <t>Laptop Stand</t>
  </si>
  <si>
    <t>LED Monitor</t>
  </si>
  <si>
    <t>File Cabinet</t>
  </si>
  <si>
    <t>High</t>
  </si>
  <si>
    <t>Low</t>
  </si>
  <si>
    <t>Critical</t>
  </si>
  <si>
    <t>Medium</t>
  </si>
  <si>
    <t>Net Banking</t>
  </si>
  <si>
    <t>BNPL</t>
  </si>
  <si>
    <t>upi</t>
  </si>
  <si>
    <t>Credit-Card</t>
  </si>
  <si>
    <t>debit  card</t>
  </si>
  <si>
    <t>Cash</t>
  </si>
  <si>
    <t>Credit Card</t>
  </si>
  <si>
    <t>Gift Cards</t>
  </si>
  <si>
    <t>Debit Card</t>
  </si>
  <si>
    <t>UPI</t>
  </si>
  <si>
    <t>Cash/Cheque</t>
  </si>
  <si>
    <t>Mobile Wallets</t>
  </si>
  <si>
    <t>Column1</t>
  </si>
  <si>
    <t>clean payment_mode</t>
  </si>
  <si>
    <t>Order month</t>
  </si>
  <si>
    <t>Order day</t>
  </si>
  <si>
    <t>extract_cat</t>
  </si>
  <si>
    <t>Total transaction count</t>
  </si>
  <si>
    <t>Average unit price</t>
  </si>
  <si>
    <t>Total Quantity sold</t>
  </si>
  <si>
    <t>Average profit margin</t>
  </si>
  <si>
    <t>Maximum shipping cost</t>
  </si>
  <si>
    <t>Minimum shipping cost</t>
  </si>
  <si>
    <t>payment mode count</t>
  </si>
  <si>
    <t>high value sales</t>
  </si>
  <si>
    <t>gross revenue</t>
  </si>
  <si>
    <t>total discount amount</t>
  </si>
  <si>
    <t>total net revenue</t>
  </si>
  <si>
    <t>total order cost</t>
  </si>
  <si>
    <t>order fulfillment duration</t>
  </si>
  <si>
    <t>Row Labels</t>
  </si>
  <si>
    <t>Grand Total</t>
  </si>
  <si>
    <t>extract sub cat</t>
  </si>
  <si>
    <t>average unit price</t>
  </si>
  <si>
    <t>total quantity sold</t>
  </si>
  <si>
    <t>average profit margin</t>
  </si>
  <si>
    <t>maximum shipping cost</t>
  </si>
  <si>
    <t>minimum shipping cost</t>
  </si>
  <si>
    <t>Sum of total net revenue</t>
  </si>
  <si>
    <t>Sum of average profit margin</t>
  </si>
  <si>
    <t>Column Labels</t>
  </si>
  <si>
    <t>FUR</t>
  </si>
  <si>
    <t>OFF</t>
  </si>
  <si>
    <t>TEC</t>
  </si>
  <si>
    <t>Sum of Quantity</t>
  </si>
  <si>
    <t>Count of Order ID</t>
  </si>
  <si>
    <t>Jan</t>
  </si>
  <si>
    <t>Feb</t>
  </si>
  <si>
    <t>Mar</t>
  </si>
  <si>
    <t>Apr</t>
  </si>
  <si>
    <t>May</t>
  </si>
  <si>
    <t>Jun</t>
  </si>
  <si>
    <t>Jul</t>
  </si>
  <si>
    <t>Aug</t>
  </si>
  <si>
    <t>Sep</t>
  </si>
  <si>
    <t>Oct</t>
  </si>
  <si>
    <t>Nov</t>
  </si>
  <si>
    <t>Dec</t>
  </si>
  <si>
    <t>order month</t>
  </si>
  <si>
    <t>Sum of Shipping Cost</t>
  </si>
  <si>
    <t>Average of Profit</t>
  </si>
  <si>
    <t>SALES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</si>
</sst>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4009]dd/mm/yyyy;@"/>
    <numFmt numFmtId="165" formatCode="&quot;₹&quot;\ #,##0.00"/>
  </numFmts>
  <fonts count="4" x14ac:knownFonts="1">
    <font>
      <sz val="11"/>
      <color theme="1"/>
      <name val="Calibri"/>
      <family val="2"/>
      <scheme val="minor"/>
    </font>
    <font>
      <b/>
      <sz val="11"/>
      <color theme="1"/>
      <name val="Calibri"/>
      <family val="2"/>
      <scheme val="minor"/>
    </font>
    <font>
      <sz val="11"/>
      <color theme="1"/>
      <name val="Calibri"/>
      <family val="2"/>
      <scheme val="minor"/>
    </font>
    <font>
      <b/>
      <sz val="24"/>
      <color theme="1"/>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rgb="FF758B8B"/>
        <bgColor indexed="64"/>
      </patternFill>
    </fill>
  </fills>
  <borders count="3">
    <border>
      <left/>
      <right/>
      <top/>
      <bottom/>
      <diagonal/>
    </border>
    <border>
      <left style="thin">
        <color auto="1"/>
      </left>
      <right style="thin">
        <color auto="1"/>
      </right>
      <top/>
      <bottom style="thin">
        <color auto="1"/>
      </bottom>
      <diagonal/>
    </border>
    <border>
      <left/>
      <right/>
      <top/>
      <bottom style="thin">
        <color theme="4" tint="0.39997558519241921"/>
      </bottom>
      <diagonal/>
    </border>
  </borders>
  <cellStyleXfs count="2">
    <xf numFmtId="0" fontId="0" fillId="0" borderId="0"/>
    <xf numFmtId="9" fontId="2" fillId="0" borderId="0" applyFont="0" applyFill="0" applyBorder="0" applyAlignment="0" applyProtection="0"/>
  </cellStyleXfs>
  <cellXfs count="16">
    <xf numFmtId="0" fontId="0" fillId="0" borderId="0" xfId="0"/>
    <xf numFmtId="0" fontId="1" fillId="0" borderId="1" xfId="0" applyFont="1" applyBorder="1" applyAlignment="1">
      <alignment horizontal="center" vertical="top"/>
    </xf>
    <xf numFmtId="14" fontId="1" fillId="0" borderId="1" xfId="0" applyNumberFormat="1" applyFont="1" applyBorder="1" applyAlignment="1">
      <alignment horizontal="center" vertical="top"/>
    </xf>
    <xf numFmtId="14" fontId="0" fillId="0" borderId="0" xfId="0" applyNumberFormat="1"/>
    <xf numFmtId="164" fontId="1" fillId="0" borderId="1" xfId="0" applyNumberFormat="1" applyFont="1" applyBorder="1" applyAlignment="1">
      <alignment horizontal="center" vertical="top"/>
    </xf>
    <xf numFmtId="164" fontId="0" fillId="0" borderId="0" xfId="0" applyNumberFormat="1"/>
    <xf numFmtId="2"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1" fillId="2" borderId="2" xfId="0" applyFont="1" applyFill="1" applyBorder="1"/>
    <xf numFmtId="0" fontId="0" fillId="3" borderId="0" xfId="0" applyFill="1"/>
    <xf numFmtId="2" fontId="0" fillId="3" borderId="0" xfId="0" applyNumberFormat="1" applyFill="1"/>
    <xf numFmtId="2" fontId="0" fillId="3" borderId="0" xfId="1" applyNumberFormat="1" applyFont="1" applyFill="1"/>
    <xf numFmtId="0" fontId="3" fillId="3" borderId="0" xfId="0" applyFont="1" applyFill="1" applyAlignment="1">
      <alignment horizontal="center"/>
    </xf>
    <xf numFmtId="0" fontId="1" fillId="3" borderId="0" xfId="0" applyFont="1" applyFill="1" applyAlignment="1">
      <alignment horizontal="center"/>
    </xf>
  </cellXfs>
  <cellStyles count="2">
    <cellStyle name="Normal" xfId="0" builtinId="0"/>
    <cellStyle name="Percent" xfId="1" builtinId="5"/>
  </cellStyles>
  <dxfs count="2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64" formatCode="[$-14009]dd/mm/yyyy;@"/>
    </dxf>
    <dxf>
      <numFmt numFmtId="0" formatCode="General"/>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758B8B"/>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[Sales_data_raw_final done.xlsx]pivot tables!PivotTable5</c:name>
    <c:fmtId val="1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sz="1800" b="1">
                <a:solidFill>
                  <a:schemeClr val="tx1"/>
                </a:solidFill>
              </a:rPr>
              <a:t>NET</a:t>
            </a:r>
            <a:r>
              <a:rPr lang="en-IN" sz="1800" b="1" baseline="0">
                <a:solidFill>
                  <a:schemeClr val="tx1"/>
                </a:solidFill>
              </a:rPr>
              <a:t> REVENUE </a:t>
            </a:r>
            <a:r>
              <a:rPr lang="en-IN" sz="2000" b="1" baseline="0">
                <a:solidFill>
                  <a:schemeClr val="tx1"/>
                </a:solidFill>
              </a:rPr>
              <a:t>VS</a:t>
            </a:r>
            <a:r>
              <a:rPr lang="en-IN" sz="1800" b="1" baseline="0">
                <a:solidFill>
                  <a:schemeClr val="tx1"/>
                </a:solidFill>
              </a:rPr>
              <a:t> SHIPPING COST</a:t>
            </a:r>
            <a:endParaRPr lang="en-IN" sz="18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tables'!$I$17</c:f>
              <c:strCache>
                <c:ptCount val="1"/>
                <c:pt idx="0">
                  <c:v>Sum of total net revenue</c:v>
                </c:pt>
              </c:strCache>
            </c:strRef>
          </c:tx>
          <c:spPr>
            <a:solidFill>
              <a:schemeClr val="accent1"/>
            </a:solidFill>
            <a:ln>
              <a:noFill/>
            </a:ln>
            <a:effectLst/>
          </c:spPr>
          <c:invertIfNegative val="0"/>
          <c:cat>
            <c:strRef>
              <c:f>'pivot tables'!$H$18:$H$30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tables'!$I$18:$I$30</c:f>
              <c:numCache>
                <c:formatCode>General</c:formatCode>
                <c:ptCount val="12"/>
                <c:pt idx="0">
                  <c:v>183422.91250000001</c:v>
                </c:pt>
                <c:pt idx="1">
                  <c:v>319061.90799999994</c:v>
                </c:pt>
                <c:pt idx="2">
                  <c:v>499630.31900000002</c:v>
                </c:pt>
                <c:pt idx="3">
                  <c:v>1374452.057</c:v>
                </c:pt>
                <c:pt idx="4">
                  <c:v>545463.92049999989</c:v>
                </c:pt>
                <c:pt idx="5">
                  <c:v>464717.70750000002</c:v>
                </c:pt>
                <c:pt idx="6">
                  <c:v>426962.61100000003</c:v>
                </c:pt>
                <c:pt idx="7">
                  <c:v>474967.52899999998</c:v>
                </c:pt>
                <c:pt idx="8">
                  <c:v>460383.65000000008</c:v>
                </c:pt>
                <c:pt idx="9">
                  <c:v>614586.31799999997</c:v>
                </c:pt>
                <c:pt idx="10">
                  <c:v>207504.01400000002</c:v>
                </c:pt>
                <c:pt idx="11">
                  <c:v>606708.88849999988</c:v>
                </c:pt>
              </c:numCache>
            </c:numRef>
          </c:val>
          <c:extLst>
            <c:ext xmlns:c16="http://schemas.microsoft.com/office/drawing/2014/chart" uri="{C3380CC4-5D6E-409C-BE32-E72D297353CC}">
              <c16:uniqueId val="{00000000-3B60-4772-A8C2-FD471B1C85F9}"/>
            </c:ext>
          </c:extLst>
        </c:ser>
        <c:dLbls>
          <c:showLegendKey val="0"/>
          <c:showVal val="0"/>
          <c:showCatName val="0"/>
          <c:showSerName val="0"/>
          <c:showPercent val="0"/>
          <c:showBubbleSize val="0"/>
        </c:dLbls>
        <c:gapWidth val="219"/>
        <c:overlap val="-27"/>
        <c:axId val="1972911488"/>
        <c:axId val="1972963632"/>
      </c:barChart>
      <c:lineChart>
        <c:grouping val="standard"/>
        <c:varyColors val="0"/>
        <c:ser>
          <c:idx val="1"/>
          <c:order val="1"/>
          <c:tx>
            <c:strRef>
              <c:f>'pivot tables'!$J$17</c:f>
              <c:strCache>
                <c:ptCount val="1"/>
                <c:pt idx="0">
                  <c:v>Sum of Shipping Cost</c:v>
                </c:pt>
              </c:strCache>
            </c:strRef>
          </c:tx>
          <c:spPr>
            <a:ln w="28575" cap="rnd">
              <a:solidFill>
                <a:schemeClr val="accent2"/>
              </a:solidFill>
              <a:round/>
            </a:ln>
            <a:effectLst/>
          </c:spPr>
          <c:marker>
            <c:symbol val="none"/>
          </c:marker>
          <c:cat>
            <c:strRef>
              <c:f>'pivot tables'!$H$18:$H$30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tables'!$J$18:$J$30</c:f>
              <c:numCache>
                <c:formatCode>General</c:formatCode>
                <c:ptCount val="12"/>
                <c:pt idx="0">
                  <c:v>11971.730000000001</c:v>
                </c:pt>
                <c:pt idx="1">
                  <c:v>24204.149999999998</c:v>
                </c:pt>
                <c:pt idx="2">
                  <c:v>36035.399999999994</c:v>
                </c:pt>
                <c:pt idx="3">
                  <c:v>114518.46</c:v>
                </c:pt>
                <c:pt idx="4">
                  <c:v>34929.090000000004</c:v>
                </c:pt>
                <c:pt idx="5">
                  <c:v>16360.44</c:v>
                </c:pt>
                <c:pt idx="6">
                  <c:v>24504.7</c:v>
                </c:pt>
                <c:pt idx="7">
                  <c:v>26066.559999999998</c:v>
                </c:pt>
                <c:pt idx="8">
                  <c:v>24185.260000000002</c:v>
                </c:pt>
                <c:pt idx="9">
                  <c:v>23520.97</c:v>
                </c:pt>
                <c:pt idx="10">
                  <c:v>6761.2699999999995</c:v>
                </c:pt>
                <c:pt idx="11">
                  <c:v>34064.909999999996</c:v>
                </c:pt>
              </c:numCache>
            </c:numRef>
          </c:val>
          <c:smooth val="0"/>
          <c:extLst>
            <c:ext xmlns:c16="http://schemas.microsoft.com/office/drawing/2014/chart" uri="{C3380CC4-5D6E-409C-BE32-E72D297353CC}">
              <c16:uniqueId val="{00000001-3B60-4772-A8C2-FD471B1C85F9}"/>
            </c:ext>
          </c:extLst>
        </c:ser>
        <c:dLbls>
          <c:showLegendKey val="0"/>
          <c:showVal val="0"/>
          <c:showCatName val="0"/>
          <c:showSerName val="0"/>
          <c:showPercent val="0"/>
          <c:showBubbleSize val="0"/>
        </c:dLbls>
        <c:marker val="1"/>
        <c:smooth val="0"/>
        <c:axId val="1972880864"/>
        <c:axId val="1972970832"/>
      </c:lineChart>
      <c:catAx>
        <c:axId val="1972911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72963632"/>
        <c:crosses val="autoZero"/>
        <c:auto val="1"/>
        <c:lblAlgn val="ctr"/>
        <c:lblOffset val="100"/>
        <c:noMultiLvlLbl val="0"/>
      </c:catAx>
      <c:valAx>
        <c:axId val="1972963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72911488"/>
        <c:crosses val="autoZero"/>
        <c:crossBetween val="between"/>
      </c:valAx>
      <c:valAx>
        <c:axId val="197297083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72880864"/>
        <c:crosses val="max"/>
        <c:crossBetween val="between"/>
      </c:valAx>
      <c:catAx>
        <c:axId val="1972880864"/>
        <c:scaling>
          <c:orientation val="minMax"/>
        </c:scaling>
        <c:delete val="1"/>
        <c:axPos val="b"/>
        <c:numFmt formatCode="General" sourceLinked="1"/>
        <c:majorTickMark val="out"/>
        <c:minorTickMark val="none"/>
        <c:tickLblPos val="nextTo"/>
        <c:crossAx val="197297083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758B8B"/>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[Sales_data_raw_final done.xlsx]Sheet2!PivotTable1</c:name>
    <c:fmtId val="6"/>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sz="1600" b="1">
                <a:solidFill>
                  <a:schemeClr val="tx1"/>
                </a:solidFill>
              </a:rPr>
              <a:t>Sales</a:t>
            </a:r>
            <a:r>
              <a:rPr lang="en-IN" sz="1600" b="1" baseline="0">
                <a:solidFill>
                  <a:schemeClr val="tx1"/>
                </a:solidFill>
              </a:rPr>
              <a:t> share by category</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s>
    <c:plotArea>
      <c:layout/>
      <c:doughnutChart>
        <c:varyColors val="1"/>
        <c:ser>
          <c:idx val="0"/>
          <c:order val="0"/>
          <c:tx>
            <c:strRef>
              <c:f>Sheet2!$B$3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EE2-4896-AFA2-9B261385505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EE2-4896-AFA2-9B261385505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EE2-4896-AFA2-9B2613855057}"/>
              </c:ext>
            </c:extLst>
          </c:dPt>
          <c:cat>
            <c:strRef>
              <c:f>Sheet2!$A$4:$A$7</c:f>
              <c:strCache>
                <c:ptCount val="3"/>
                <c:pt idx="0">
                  <c:v>FUR</c:v>
                </c:pt>
                <c:pt idx="1">
                  <c:v>OFF</c:v>
                </c:pt>
                <c:pt idx="2">
                  <c:v>TEC</c:v>
                </c:pt>
              </c:strCache>
            </c:strRef>
          </c:cat>
          <c:val>
            <c:numRef>
              <c:f>Sheet2!$B$4:$B$7</c:f>
              <c:numCache>
                <c:formatCode>General</c:formatCode>
                <c:ptCount val="3"/>
                <c:pt idx="0">
                  <c:v>159</c:v>
                </c:pt>
                <c:pt idx="1">
                  <c:v>203</c:v>
                </c:pt>
                <c:pt idx="2">
                  <c:v>256</c:v>
                </c:pt>
              </c:numCache>
            </c:numRef>
          </c:val>
          <c:extLst>
            <c:ext xmlns:c16="http://schemas.microsoft.com/office/drawing/2014/chart" uri="{C3380CC4-5D6E-409C-BE32-E72D297353CC}">
              <c16:uniqueId val="{00000006-6EE2-4896-AFA2-9B261385505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758B8B"/>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[Sales_data_raw_final done.xlsx]pivot tables!PivotTable5</c:name>
    <c:fmtId val="17"/>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a:t>Monthly Net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tables'!$I$17</c:f>
              <c:strCache>
                <c:ptCount val="1"/>
                <c:pt idx="0">
                  <c:v>Sum of total net revenue</c:v>
                </c:pt>
              </c:strCache>
            </c:strRef>
          </c:tx>
          <c:spPr>
            <a:ln w="28575" cap="rnd">
              <a:solidFill>
                <a:schemeClr val="accent1"/>
              </a:solidFill>
              <a:round/>
            </a:ln>
            <a:effectLst/>
          </c:spPr>
          <c:marker>
            <c:symbol val="none"/>
          </c:marker>
          <c:cat>
            <c:strRef>
              <c:f>'pivot tables'!$H$18:$H$30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tables'!$I$18:$I$30</c:f>
              <c:numCache>
                <c:formatCode>General</c:formatCode>
                <c:ptCount val="12"/>
                <c:pt idx="0">
                  <c:v>183422.91250000001</c:v>
                </c:pt>
                <c:pt idx="1">
                  <c:v>319061.90799999994</c:v>
                </c:pt>
                <c:pt idx="2">
                  <c:v>499630.31900000002</c:v>
                </c:pt>
                <c:pt idx="3">
                  <c:v>1374452.057</c:v>
                </c:pt>
                <c:pt idx="4">
                  <c:v>545463.92049999989</c:v>
                </c:pt>
                <c:pt idx="5">
                  <c:v>464717.70750000002</c:v>
                </c:pt>
                <c:pt idx="6">
                  <c:v>426962.61100000003</c:v>
                </c:pt>
                <c:pt idx="7">
                  <c:v>474967.52899999998</c:v>
                </c:pt>
                <c:pt idx="8">
                  <c:v>460383.65000000008</c:v>
                </c:pt>
                <c:pt idx="9">
                  <c:v>614586.31799999997</c:v>
                </c:pt>
                <c:pt idx="10">
                  <c:v>207504.01400000002</c:v>
                </c:pt>
                <c:pt idx="11">
                  <c:v>606708.88849999988</c:v>
                </c:pt>
              </c:numCache>
            </c:numRef>
          </c:val>
          <c:smooth val="0"/>
          <c:extLst>
            <c:ext xmlns:c16="http://schemas.microsoft.com/office/drawing/2014/chart" uri="{C3380CC4-5D6E-409C-BE32-E72D297353CC}">
              <c16:uniqueId val="{00000000-8270-4915-9006-3B27DC3A4CBC}"/>
            </c:ext>
          </c:extLst>
        </c:ser>
        <c:ser>
          <c:idx val="1"/>
          <c:order val="1"/>
          <c:tx>
            <c:strRef>
              <c:f>'pivot tables'!$J$17</c:f>
              <c:strCache>
                <c:ptCount val="1"/>
                <c:pt idx="0">
                  <c:v>Sum of Shipping Cost</c:v>
                </c:pt>
              </c:strCache>
            </c:strRef>
          </c:tx>
          <c:spPr>
            <a:ln w="28575" cap="rnd">
              <a:solidFill>
                <a:schemeClr val="accent2"/>
              </a:solidFill>
              <a:round/>
            </a:ln>
            <a:effectLst/>
          </c:spPr>
          <c:marker>
            <c:symbol val="none"/>
          </c:marker>
          <c:cat>
            <c:strRef>
              <c:f>'pivot tables'!$H$18:$H$30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tables'!$J$18:$J$30</c:f>
              <c:numCache>
                <c:formatCode>General</c:formatCode>
                <c:ptCount val="12"/>
                <c:pt idx="0">
                  <c:v>11971.730000000001</c:v>
                </c:pt>
                <c:pt idx="1">
                  <c:v>24204.149999999998</c:v>
                </c:pt>
                <c:pt idx="2">
                  <c:v>36035.399999999994</c:v>
                </c:pt>
                <c:pt idx="3">
                  <c:v>114518.46</c:v>
                </c:pt>
                <c:pt idx="4">
                  <c:v>34929.090000000004</c:v>
                </c:pt>
                <c:pt idx="5">
                  <c:v>16360.44</c:v>
                </c:pt>
                <c:pt idx="6">
                  <c:v>24504.7</c:v>
                </c:pt>
                <c:pt idx="7">
                  <c:v>26066.559999999998</c:v>
                </c:pt>
                <c:pt idx="8">
                  <c:v>24185.260000000002</c:v>
                </c:pt>
                <c:pt idx="9">
                  <c:v>23520.97</c:v>
                </c:pt>
                <c:pt idx="10">
                  <c:v>6761.2699999999995</c:v>
                </c:pt>
                <c:pt idx="11">
                  <c:v>34064.909999999996</c:v>
                </c:pt>
              </c:numCache>
            </c:numRef>
          </c:val>
          <c:smooth val="0"/>
          <c:extLst>
            <c:ext xmlns:c16="http://schemas.microsoft.com/office/drawing/2014/chart" uri="{C3380CC4-5D6E-409C-BE32-E72D297353CC}">
              <c16:uniqueId val="{00000001-8270-4915-9006-3B27DC3A4CBC}"/>
            </c:ext>
          </c:extLst>
        </c:ser>
        <c:dLbls>
          <c:showLegendKey val="0"/>
          <c:showVal val="0"/>
          <c:showCatName val="0"/>
          <c:showSerName val="0"/>
          <c:showPercent val="0"/>
          <c:showBubbleSize val="0"/>
        </c:dLbls>
        <c:smooth val="0"/>
        <c:axId val="1865412016"/>
        <c:axId val="1696432272"/>
      </c:lineChart>
      <c:catAx>
        <c:axId val="1865412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96432272"/>
        <c:crosses val="autoZero"/>
        <c:auto val="1"/>
        <c:lblAlgn val="ctr"/>
        <c:lblOffset val="100"/>
        <c:noMultiLvlLbl val="0"/>
      </c:catAx>
      <c:valAx>
        <c:axId val="1696432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65412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758B8B"/>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[Sales_data_raw_final done.xlsx]pivot tables!PivotTable2</c:name>
    <c:fmtId val="1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sz="1600" b="1">
                <a:solidFill>
                  <a:schemeClr val="tx1"/>
                </a:solidFill>
              </a:rPr>
              <a:t>Total Net Revenue</a:t>
            </a:r>
            <a:r>
              <a:rPr lang="en-IN" sz="1600" b="1" baseline="0">
                <a:solidFill>
                  <a:schemeClr val="tx1"/>
                </a:solidFill>
              </a:rPr>
              <a:t> by Payment Method</a:t>
            </a:r>
            <a:endParaRPr lang="en-IN"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c:f>
              <c:strCache>
                <c:ptCount val="1"/>
                <c:pt idx="0">
                  <c:v>Sum of total net revenue</c:v>
                </c:pt>
              </c:strCache>
            </c:strRef>
          </c:tx>
          <c:spPr>
            <a:solidFill>
              <a:schemeClr val="accent1"/>
            </a:solidFill>
            <a:ln>
              <a:noFill/>
            </a:ln>
            <a:effectLst/>
          </c:spPr>
          <c:invertIfNegative val="0"/>
          <c:cat>
            <c:strRef>
              <c:f>'pivot tables'!$A$2:$A$13</c:f>
              <c:strCache>
                <c:ptCount val="11"/>
                <c:pt idx="0">
                  <c:v>BNPL</c:v>
                </c:pt>
                <c:pt idx="1">
                  <c:v>Cash</c:v>
                </c:pt>
                <c:pt idx="2">
                  <c:v>Cash/Cheque</c:v>
                </c:pt>
                <c:pt idx="3">
                  <c:v>Credit Card</c:v>
                </c:pt>
                <c:pt idx="4">
                  <c:v>Credit-Card</c:v>
                </c:pt>
                <c:pt idx="5">
                  <c:v>debit  card</c:v>
                </c:pt>
                <c:pt idx="6">
                  <c:v>Debit Card</c:v>
                </c:pt>
                <c:pt idx="7">
                  <c:v>Gift Cards</c:v>
                </c:pt>
                <c:pt idx="8">
                  <c:v>Mobile Wallets</c:v>
                </c:pt>
                <c:pt idx="9">
                  <c:v>Net Banking</c:v>
                </c:pt>
                <c:pt idx="10">
                  <c:v>upi</c:v>
                </c:pt>
              </c:strCache>
            </c:strRef>
          </c:cat>
          <c:val>
            <c:numRef>
              <c:f>'pivot tables'!$B$2:$B$13</c:f>
              <c:numCache>
                <c:formatCode>General</c:formatCode>
                <c:ptCount val="11"/>
                <c:pt idx="0">
                  <c:v>384776.761</c:v>
                </c:pt>
                <c:pt idx="1">
                  <c:v>957.64799999999991</c:v>
                </c:pt>
                <c:pt idx="2">
                  <c:v>1207201.1510000001</c:v>
                </c:pt>
                <c:pt idx="3">
                  <c:v>708386.49599999993</c:v>
                </c:pt>
                <c:pt idx="4">
                  <c:v>10054.125</c:v>
                </c:pt>
                <c:pt idx="5">
                  <c:v>4700.4799999999996</c:v>
                </c:pt>
                <c:pt idx="6">
                  <c:v>234031.82549999998</c:v>
                </c:pt>
                <c:pt idx="7">
                  <c:v>893121.03600000008</c:v>
                </c:pt>
                <c:pt idx="8">
                  <c:v>861264.1129999999</c:v>
                </c:pt>
                <c:pt idx="9">
                  <c:v>1375630.2544999998</c:v>
                </c:pt>
                <c:pt idx="10">
                  <c:v>497737.94500000001</c:v>
                </c:pt>
              </c:numCache>
            </c:numRef>
          </c:val>
          <c:extLst>
            <c:ext xmlns:c16="http://schemas.microsoft.com/office/drawing/2014/chart" uri="{C3380CC4-5D6E-409C-BE32-E72D297353CC}">
              <c16:uniqueId val="{00000000-6E33-41A2-806D-5BED4078D4CC}"/>
            </c:ext>
          </c:extLst>
        </c:ser>
        <c:ser>
          <c:idx val="1"/>
          <c:order val="1"/>
          <c:tx>
            <c:strRef>
              <c:f>'pivot tables'!$C$1</c:f>
              <c:strCache>
                <c:ptCount val="1"/>
                <c:pt idx="0">
                  <c:v>Sum of average profit margin</c:v>
                </c:pt>
              </c:strCache>
            </c:strRef>
          </c:tx>
          <c:spPr>
            <a:solidFill>
              <a:schemeClr val="accent3"/>
            </a:solidFill>
            <a:ln>
              <a:noFill/>
            </a:ln>
            <a:effectLst/>
          </c:spPr>
          <c:invertIfNegative val="0"/>
          <c:cat>
            <c:strRef>
              <c:f>'pivot tables'!$A$2:$A$13</c:f>
              <c:strCache>
                <c:ptCount val="11"/>
                <c:pt idx="0">
                  <c:v>BNPL</c:v>
                </c:pt>
                <c:pt idx="1">
                  <c:v>Cash</c:v>
                </c:pt>
                <c:pt idx="2">
                  <c:v>Cash/Cheque</c:v>
                </c:pt>
                <c:pt idx="3">
                  <c:v>Credit Card</c:v>
                </c:pt>
                <c:pt idx="4">
                  <c:v>Credit-Card</c:v>
                </c:pt>
                <c:pt idx="5">
                  <c:v>debit  card</c:v>
                </c:pt>
                <c:pt idx="6">
                  <c:v>Debit Card</c:v>
                </c:pt>
                <c:pt idx="7">
                  <c:v>Gift Cards</c:v>
                </c:pt>
                <c:pt idx="8">
                  <c:v>Mobile Wallets</c:v>
                </c:pt>
                <c:pt idx="9">
                  <c:v>Net Banking</c:v>
                </c:pt>
                <c:pt idx="10">
                  <c:v>upi</c:v>
                </c:pt>
              </c:strCache>
            </c:strRef>
          </c:cat>
          <c:val>
            <c:numRef>
              <c:f>'pivot tables'!$C$2:$C$13</c:f>
              <c:numCache>
                <c:formatCode>General</c:formatCode>
                <c:ptCount val="11"/>
                <c:pt idx="0">
                  <c:v>147.3137401209901</c:v>
                </c:pt>
                <c:pt idx="1">
                  <c:v>17.17094736842105</c:v>
                </c:pt>
                <c:pt idx="2">
                  <c:v>175.79005774997341</c:v>
                </c:pt>
                <c:pt idx="3">
                  <c:v>246.50400832097611</c:v>
                </c:pt>
                <c:pt idx="4">
                  <c:v>17.215360824742266</c:v>
                </c:pt>
                <c:pt idx="5">
                  <c:v>17.189999999999998</c:v>
                </c:pt>
                <c:pt idx="6">
                  <c:v>219.23440589848184</c:v>
                </c:pt>
                <c:pt idx="7">
                  <c:v>204.10106471228525</c:v>
                </c:pt>
                <c:pt idx="8">
                  <c:v>215.79306000371534</c:v>
                </c:pt>
                <c:pt idx="9">
                  <c:v>275.06361930734107</c:v>
                </c:pt>
                <c:pt idx="10">
                  <c:v>133.04914738769119</c:v>
                </c:pt>
              </c:numCache>
            </c:numRef>
          </c:val>
          <c:extLst>
            <c:ext xmlns:c16="http://schemas.microsoft.com/office/drawing/2014/chart" uri="{C3380CC4-5D6E-409C-BE32-E72D297353CC}">
              <c16:uniqueId val="{00000001-6E33-41A2-806D-5BED4078D4CC}"/>
            </c:ext>
          </c:extLst>
        </c:ser>
        <c:dLbls>
          <c:showLegendKey val="0"/>
          <c:showVal val="0"/>
          <c:showCatName val="0"/>
          <c:showSerName val="0"/>
          <c:showPercent val="0"/>
          <c:showBubbleSize val="0"/>
        </c:dLbls>
        <c:gapWidth val="219"/>
        <c:overlap val="-27"/>
        <c:axId val="1801449168"/>
        <c:axId val="1751657968"/>
      </c:barChart>
      <c:catAx>
        <c:axId val="1801449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51657968"/>
        <c:crosses val="autoZero"/>
        <c:auto val="1"/>
        <c:lblAlgn val="ctr"/>
        <c:lblOffset val="100"/>
        <c:noMultiLvlLbl val="0"/>
      </c:catAx>
      <c:valAx>
        <c:axId val="1751657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01449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758B8B"/>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[Sales_data_raw_final done.xlsx]Sheet2!PivotTable2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Average</a:t>
            </a:r>
            <a:r>
              <a:rPr lang="en-IN" sz="1600" b="1" baseline="0"/>
              <a:t> profit margin by region</a:t>
            </a:r>
            <a:endParaRPr lang="en-IN"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Sheet2!$B$23</c:f>
              <c:strCache>
                <c:ptCount val="1"/>
                <c:pt idx="0">
                  <c:v>Total</c:v>
                </c:pt>
              </c:strCache>
            </c:strRef>
          </c:tx>
          <c:spPr>
            <a:solidFill>
              <a:schemeClr val="accent1"/>
            </a:solidFill>
            <a:ln>
              <a:noFill/>
            </a:ln>
            <a:effectLst/>
          </c:spPr>
          <c:invertIfNegative val="0"/>
          <c:cat>
            <c:strRef>
              <c:f>Sheet2!$A$24:$A$29</c:f>
              <c:strCache>
                <c:ptCount val="5"/>
                <c:pt idx="0">
                  <c:v>Central</c:v>
                </c:pt>
                <c:pt idx="1">
                  <c:v>East</c:v>
                </c:pt>
                <c:pt idx="2">
                  <c:v>North</c:v>
                </c:pt>
                <c:pt idx="3">
                  <c:v>South</c:v>
                </c:pt>
                <c:pt idx="4">
                  <c:v>West</c:v>
                </c:pt>
              </c:strCache>
            </c:strRef>
          </c:cat>
          <c:val>
            <c:numRef>
              <c:f>Sheet2!$B$24:$B$29</c:f>
              <c:numCache>
                <c:formatCode>General</c:formatCode>
                <c:ptCount val="5"/>
                <c:pt idx="0">
                  <c:v>17.821363636363635</c:v>
                </c:pt>
                <c:pt idx="1">
                  <c:v>8.0326666666666675</c:v>
                </c:pt>
                <c:pt idx="2">
                  <c:v>16.387500000000003</c:v>
                </c:pt>
                <c:pt idx="3">
                  <c:v>21.234210526315792</c:v>
                </c:pt>
                <c:pt idx="4">
                  <c:v>18.557916666666671</c:v>
                </c:pt>
              </c:numCache>
            </c:numRef>
          </c:val>
          <c:extLst>
            <c:ext xmlns:c16="http://schemas.microsoft.com/office/drawing/2014/chart" uri="{C3380CC4-5D6E-409C-BE32-E72D297353CC}">
              <c16:uniqueId val="{00000000-0396-482E-B8C4-40E5D867090E}"/>
            </c:ext>
          </c:extLst>
        </c:ser>
        <c:dLbls>
          <c:showLegendKey val="0"/>
          <c:showVal val="0"/>
          <c:showCatName val="0"/>
          <c:showSerName val="0"/>
          <c:showPercent val="0"/>
          <c:showBubbleSize val="0"/>
        </c:dLbls>
        <c:gapWidth val="182"/>
        <c:axId val="1089105328"/>
        <c:axId val="1751641168"/>
      </c:barChart>
      <c:catAx>
        <c:axId val="10891053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1641168"/>
        <c:crosses val="autoZero"/>
        <c:auto val="1"/>
        <c:lblAlgn val="ctr"/>
        <c:lblOffset val="100"/>
        <c:noMultiLvlLbl val="0"/>
      </c:catAx>
      <c:valAx>
        <c:axId val="17516411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9105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rich>
          <a:bodyPr spcFirstLastPara="1" vertOverflow="ellipsis" horzOverflow="overflow" wrap="square" lIns="0" tIns="0" rIns="0" bIns="0" anchor="ctr" anchorCtr="1"/>
          <a:lstStyle/>
          <a:p>
            <a:pPr algn="ctr" rtl="0">
              <a:defRPr>
                <a:solidFill>
                  <a:schemeClr val="tx1"/>
                </a:solidFill>
              </a:defRPr>
            </a:pPr>
            <a:r>
              <a:rPr lang="en-US" sz="1600" b="1" i="0" u="none" strike="noStrike" baseline="0">
                <a:solidFill>
                  <a:schemeClr val="tx1"/>
                </a:solidFill>
                <a:latin typeface="Calibri"/>
              </a:rPr>
              <a:t>NET REVENUE BY STATE</a:t>
            </a:r>
            <a:endParaRPr lang="en-US" sz="1400" b="1" i="0" u="none" strike="noStrike" baseline="0">
              <a:solidFill>
                <a:schemeClr val="tx1"/>
              </a:solidFill>
              <a:latin typeface="Calibri"/>
            </a:endParaRPr>
          </a:p>
        </cx:rich>
      </cx:tx>
    </cx:title>
    <cx:plotArea>
      <cx:plotAreaRegion>
        <cx:series layoutId="regionMap" uniqueId="{00000000-54B6-48EE-9421-004DD1A3D55A}">
          <cx:tx>
            <cx:txData>
              <cx:f>_xlchart.v5.2</cx:f>
              <cx:v>Sum of total net revenue</cx:v>
            </cx:txData>
          </cx:tx>
          <cx:dataId val="0"/>
          <cx:layoutPr>
            <cx:geography cultureLanguage="en-US" cultureRegion="IN" attribution="Powered by Bing">
              <cx:geoCache provider="{E9337A44-BEBE-4D9F-B70C-5C5E7DAFC167}">
                <cx:binary>7Hxpb9xIsu1fafjzpTr3ZTB9gZckVaXdstW2u78QalnmktyZye3X3yjLdkvVstxTbx7wBriCYbmK
ZGZkRkaciBNB//Nu/sddeX/b/zRXZT38427+5VXmXPuPn38e7rL76nY4qvK7vhmaT+7orql+bj59
yu/uf/7Y3055nf5MEGY/32W3vbufX/33P2G09L45b+5uXd7U1/6+X97cD750wwvXnr300+3HKq+j
fHB9fufwL6+i+zLLX/10X7vcLTdLe//Lqye3vPrp5/2B/jLpTyXI5fxHeJaoI8Eo1UgI9PkHv/qp
bOr0y2UpjzDmTCqO9ecf8XXqy9sKHv+hNJ9luf34sb8fBljL59/fHnsiOHx7/uqnu8bXbrdbKWzc
L69O6o/57auf8qEJHy6EzU7qk8vPy/z56T7/9z/3voCF733zSBX7u/SjS3/RxM19eVuntzXI9+/S
BpZHCiHBNVZP1aCPENKKac4e1ACXH+Z8UMPfEuV5VTx6dE8dN5v/KHVsfHHb37qvG/NvMA1yJDQR
WDLyrGngI64lEmAfz5rG35DneY18e3BPH5vT/yh9nN329a27tf9O82BHEiNG2Hc0Io6wkBpz8Gef
f+jXw/BgJX9Loud18ujRPa2c/Z//KK28vx/cT+Ye/Fb5dXP+DZZCjxTnAgkE3mv3g594LyWPtCSI
IsG+zvmgkL8pzPMqefLwnlLem/8opVzcQuRwO2Su/3caiz5inCBFuX5OKRKMBSlNyRdE0fypbv6m
TM/r5snDe7q52P5H6ebmtsrLny5vP/qv+/N/by8YHyEsMEJqD+bVEUMSEcTl18m+4PvfEuJ5XTxe
wJ4qbiCM+v844HpetMex1pM7/tXIlxxRTpRE+gta6CdOS+ojKijDSPMH8yFPVfIlMv2+NM9r48tj
TwT/fxzmfj8E/pYYRADU8eeM4lEU/PLVz8uDJGfv0ZdC4Ye9Ovn4yyupERUEPdLYbpgnIe2m+eYL
nzxxfzs4GIAdES042gVfAjBfgPImgDa4Qo8Ep4xITBgilFEwsbrpXfbLK8yPFGZCayyJlqBdiA+G
xn++xI6UgrAbIVA5DAeG+XWBr5tySZv62258+fxT7avXTV674ZdXkBS1D3d9FpXtBEOC7OJ1ITHd
wWF7d/sGEkW4Gf8XkdNY83Ka4iJNGzNP2XqcFI6EGGeNCapihkjvWxb3zHzgqp+ZDybknCHYD9iM
x/OVKR2sKNEUr2wozMrST+PaFmaZghmA8qWZCAUl7c/FFZKaaEa55Ai29/FcXnBCaZZNMcHIhmnF
eRt2aYZPCkLaC5uk44VfabEpiaujtOv1R1E24+uhnu1JpZmvTBdYfIqWqQ2M9QOzxuq0f8/KQk4m
V4JfCpHiU4/I8McyrTwJBywTYYpZZamp1nKWZqLNfZB4aoSy+KZSvRuPqcw7fOZYj17nJRnScMjX
JHKFZPdOZE08qKkYQzWU/pOfg+w+FXkS2VrSqEnK9bXuiKDGdUu66UZfhNa78boQa3DWIY3Gbce8
rY3NNIjiZZK8VwqtuSFZt0qTp6VMTaoWyUyQBnLTrrRvTFUWQRd6PaWzGVhPGkPl2H+qiqA/lYM4
kSmcBzx6EgeyPq8XcVPz3LaRLWhyuqbBepYTXr+e5/J8zoiLWYLGMM3bD0GVFaFC5Lpga72puTxf
Zt+bXJPMdG3fhVQH/fmSlVmIvB/DBInBlFiXWRQIVZvcchvjYLanwTJ8yLUvTDUzGy1d3hghA2Xm
UV66uiiOy0GHWWbbkOLZxTzQ8ZjUy8am5Br3uRlI8GbpxohjORiB52yjJGdRWekT0uExtC2F6fu+
MAinn+oi14b7Av6RLUaiqdkOpdPhWMraNNmAIsFgciIqFI0KXU8eD8Y3PZgORLQpsRdVndqIiPSP
KYGjjodSRawONvmErhvbR2q3o5ZmOkpY9tbhIg3RTD5yn5xjK0+6pijDElcb1M7K5FPahmSg1wm1
c9hU+GMhqmNqURdW3m0oKj4hImxsk/4Dhw9joi4pLT5ZnZ9XLj1NW4tDOyadGbPubdqLTcAHo5bx
LEvsxtHgPCv7PG71AuduVmQ1XdJ16XlB2YSigiXDVef4ZR40H+qxaMOJstnQqTxDer4Xvi0iO/fi
2FagvH5Ws9Gprs3oJh17mluzqpqCzrvCeKYuyZKllzSZ/8iS4f2cEhFzMg2wGTYPRRLcJDQ9XwqJ
wpWyxDTBkIRENtFik9rMIj1LE9tsRE8+WKRhAYkyKIHpyin/I+FsU9SBM6WgMnSyMaxtxrBCMLWY
SHAyNG6M+oFPISj2OqsWHSbNtJigLAeTVGCotiPrjQuG0SSDvJkQrLSW1flYgx4Yav/QadPEn33V
Fzj74hYf3PJd0y59nmZf+LVvH//7pqngz2cW6M8vd/Tcn58uvvJ6L961uW92odiwf9NOmm9jgTBf
pNvB2ZMPf0HXr/Cyh58PNOF3Lv49cKVI7eLHb279L9D6Nrc2r76GMzvI+vLIA7YqdaSJ0oRBRseZ
AHv9iq1w5TOwAexK/Pn7L8gKLCKGUIprqhjmnMg/kZXIox1aQB4iv+Lx19U9USGEEl8+P0ZWvIOy
P6FVAAFGQSqCtRIMKcb3oDWhGaqnmpAtG7PgdO0nwKAmv2AJaU/lPEkD/riNWDY08dSm86/5ZNPT
GtfadMhlEdYDNRUZ1V2RDThKXCvf1JWfT5qgdReVnLMfAOYODl+SFzbmMVzyYBEuVwve6ryctgvD
lWkhVTaiTiLUotaQTqMLXaEE2LhvKn1mpyj70VZB8v146lawqu1bumzzdMjNOrvi0tpOHa/d3MSF
D5po1WVgPO4rYwm/msd+NqLTVaSlTsOi5f12WWsOvmKqTKM7aWSfXRFN/AlpYfcEna9KmqQXifNL
mMsGXG9fo+2w5m/asYj7Mv/VFohXAKtB25u2VOMHmwfLCkAzda+brGo2mav825Gi9NwOUhlbznlc
tqQ6rTRqLrjX+UVfr9NvmZ9chIO2Oc9xSeKlWrvjvnUxqu+WMUMnZZ1uAlcEptbZGKUTRr+yqZlP
5FhPm5KWyiRzmh8X0t8VvR6c0Q3xH9qco01WB8Xx2tTSFGmXx33Gm01Dil+5SK78Ml13RdufDFM0
lcEHNtT6zJVFdboU+v2wkmDDdXvWLwxFSybIebGmF1VV5aZNIbRQS9ED4OUbOrWlGZW8ddW4RuPE
a0N0cUrHJDBkXK5mlPHjobMu9iihYZBRd9qO83yc+IRESZlfNslKj+cebfu0uSnZfJqsSxKlfRuN
LTIkSMOm6E4FTrhJKeqOC8vmqE2r4ThfybhpCsViMrWdqefFRtWCmhgWlpkhb90J7wX6fUr7NBbp
5DLDsVu2WZUDAmt6ClZj8sCfJYvuDFNkPG6z+WYeg/F6rmYXzRVDphX+OGVTu0VZcIPreYrzPtWm
16CTrGmyK+1TGo+Uluc6YzG3BYaYTCQnqhZo4/IsOWGsVaEiTRZ3jWjDIhc81L7No3Gm600wd6ed
TeOgGcdwzKoTiLFoBNWSMs4dnOaZ0+AYosrGeKUnQ61fzqY0Q+Gcu3yDxuoPJusbZ13Ya8I3XaeM
ztQNEO/RIHxqSAl7ySfGjbDjVlA3hbYDvKsloWFJlMGlb6NJJ8aPmm85aNNULNkI/q6uBxv2dFEm
420Z0dIXUZAEKkzKIprrrjedVMWmK6c3uEboLEgB/8Q0T9FcTt40rZNnS9PatwXFQbRIuZkn9tY2
fI6smoOwWjIEwXJxKdRMzJJJEjlIbEJXoDlaArIJpn7DSRDETKRvPAFQ5ZU+S7k96Sr1Jlc+N90y
37g5P+NtHjqXXY4dbrcNX6NJjvE8vFvL7kp2eAgl8m+yrFW/ks7mx5AtxTXytzYnSSjS/qK3JFqq
+mYI+pjM+rjLqjuE69ituY1KCTFfR4YsHCi71IvINngdTV501/mkT4MeX80yPS2SmlxUoguISZZF
HqeJqBvT0Gb4AxPMYd9r9HYeluOBlORNMKD0OIEQD2x7nO9GAuE0qntRGTJTfZuVOXyGZZ3M68BB
VZot4eQh6Ei6tjwWi0vDMvNlOHe03vZtXp8QSwLT+iGN+srya5WQxJSjXS8K1PltGaTZKQW/GFmG
fq3ynITg/aazBU3+ptcKnIVjgaFpgDZThodtWcp8MVMt0TmWMzrRne/fdBD3vJ48bbd5Q6RJpgJu
LJosHFeaha7s0bnokqt2WU57QpeYC3uz1IU7tYkDfLDsnV/WLO5baUPIULHpST3EAWn7S9IpHyKV
ZJFjpTWknwpT2HU1ehjyk1TOpYEUA22CNM9jicYEnN3AP1R1cCqTFfxdwcJqVcW2nlQRESnWbT/J
1QS4+STTeougerjhgpIwGK3dDjr/jQY9i1meXMuc1iHOkuB4HubJ2DEb4yko8EnVFvXl2vM3L+PY
09z2M+BDZk4gf6BYQhCxy0cf5dI4YBkO7IC3jW6um7wS26pYjc8zfvbyRPhpZvvXmfZCC+vmOkMk
pdsx9XzLEn2PV4hXS0SasLbiD0FqyIs4w0bvPG8rpyZ6WQQKnNJ+tKAE1Fspx5B5a7mXXKumnop6
WPEWvJVsQyiFBCH1Q2dUKWUU9DKIIMm1b93auq2tg+4y2XmSbNToDBVJd6Yn1xuoYn8QedFf2wkS
IZv14OVTXNeXXK7J1mKUR8VYpts8cfWWzPMQ9+sCTrBGp32H1Fa2kKlBFmgCB3XZqq+uQY4gTl0J
lM1LMcpzun283D3eomBlSRrL8RbypuTN0M80XBY1RJUK1vDlqZ5SMg/KFRIBnwd/MSV21x8foylI
KmdnvM29/ORk2ZmFs9+pmuqo5+2Hlyeju6OyF/Wpx7NBOP54tiBPqnFuCrLl+fh69Zy+p1XmT4op
/YhzSM87Yd1rD+n5qXJk3bpgphGxLTdKpO5CF35bgCajAcywFN18XAzenfoEnFs6+yrKc1Ch5ZBE
Zq7gEVma+jUqstq0tp/DcsYwWlNAcg4p6LwLSrpdeMIgTnl5nbtl7C0TIn4suCQKiFS2O86PNtVW
k0AB4MhWdDwNrUhQWFFiIXQTwet8DEhpfFfaH6jyOUN9Mu1eTE1cA86tmeg2YBxMo+cfpcWAzH1i
Td6j4LRe5sskGPrX5S7KkZOzPzDUZ0UApwREIVa7uvyeoZYIz0Nb5XhL87IPB4DEnA8XSoskTBwP
TNmKK6DRIN6k4nfw+t3xyzv/zHHWj+ffsxw/6aEBSoRtXel/p0M+A1mT0NOqE3CwgxQaLV6y012m
sK9noRAHHWPC4fdTPWdTHvSuUWjL6VCc48kCUTck7iFff+jReP0w3uPc7hlvAPv55yx7axooomPJ
G7at3IzNBAs0Q81iV4n2B+p7bqbdUtCOMeXkL86g1b5eV4G2azJNZlL4fSn0CeDMD1b07DF5PNGe
H4D8w7uk7BmgSSvv88ldFUSyjfYqMfni6VubOpEb4D6yq24XKJPWtRcvK++ZlJkhJAmYKCJaQ+7+
VHtJNk+dzBO69bJot+vUjzctYfgkz2e6ben8a9NqG6VjCjzmCFQVsLldKLsSGVkFt4HMbdw2AXhM
iC7qM5tW70VPy9c4J++KXjQ/SJjpXw8bQ1hzrYCUAIn53jEI8GiTau1BtNSf1QsHhjRD+aZZSxSK
YL2YtZjj1qOtH7LZpFPeGkhCg+N8BuaU87qMxwrcaT/WJxCmJnHR4KhqIacZAgyM1Nx9atspPUFd
BSEcZWdYjp3JKwnp2aJE2Aa5i9u1gdiq3TF75T3JEQYuvatCJEZ2PgzDQ4jzv0TVs5XSP6tAWDAN
2v/mif5CVJ3d97e7mOIvj3wpAskjCp1SUM+BkwJ4uzv5X4pAu3IOheMD0cWuBrSjsL4WgciRRAqy
FiapkhAYAHp8KQKpI+C84OxpDNUj6FgAv/AvUFVEPA0oJZMaSlSYQz0XMSg27bofHsMjsOrBZC22
MQVfKZKmmYDLFmUeAjvlz+sCkCNBnpwJujZbVFF30lS9LUNV6fYis4F7zyaGMlOrrPgg2n7iIUJ1
c1ImGMxOKwsJaJe5+jiFXPQKZU6ok1GIKT/vedfcsZX7s6GWuodiivB96Jvcj5CjJ0MesjUDZtsF
GtU7BqCYgY9GIsqqMv1Yt5xXkRqVAAKDFv1kXEkzABbgI+qzKbDyV7QUhY1rnM3nfEXJ2Tp0vT9V
GRLvu3Ui7xOIGG6GLJiumtVB+DmuQwCcF0pPR6yEhwJENiiIar0+JdiulwOQerMpA5Q7M7Kajaek
TzIUA6b3walYMvIWeD/Pjy2Q72XULWsnjE2xLszEkawjZrM5ucrk4NeYZ6uvgc9nojRDN5XTlYBw
ejgngrkhJAnry7BtLAOysMDzCOWctEdhXlTtp26am3Pig3yIUb70580C/NUWKhOUhYJynhk2Fcvb
aSUVpJeW5Nmxc3Ppwjp3hQZyIEATJPatvbNBs7YnC/YlcOyDhQlYKtQHlA/FlQ0SvQXNsBukinG7
JMlymTSLfk2gcOiA0i/6OR4G1PwKtTZI3deimoFnSHt72vYzSkMGVN071Fp5bTsk7tCsaB574YFq
AzITtkalaq3MVIgy9nwg7zuf+/cq5Ww8nko2AMuCKuRDJmV3VlS+fsuyqnOmUB1Q+q3DwXTCZpct
YVKlc5QpmCHiDrKSGPJq+qaoWLPlQJZdDxVzjRlxIe4wygQQHRlZZGg1mS6LcszOdErLKPVY3LM6
G1KTrLxPw2TUM2xBsuoTNgbFEnUc+IXIywnDfVj83klPvakEojacVl3NoahYy44nRFa+XeZgTczi
8wRFXrB1jPzo5W9dnWa9gdLzcDqodbYR8EkNN50Cms+gtvefBF5nFsEQdRLmqKU6rFo7jYaozh8n
mEFuj2idXEP4DoRQu9jpGJIGsEHIpHpAgXppAa6J68+7UtiPPmcpOlFVgMI64b6PBMR6tTATy5Q1
YNHVW61zFQ3SK1sAmFQEKA8oBRbv2lVfltLPce0h93YGCQjPEbDBcBzFtlzkVGzRgIp3NZnQhtXL
GsucreepHsqzJRvJcTeTpAtzO8npYtG1w7uCXPOun2ikx4FuMR8nH2rq2uKU6ap+m2ZF7MphGTdF
gof1pOrhpHS24BfIq7w3TtVoggloxqD2E+TtH3So1nMy4lFDIQ/OyWlAEru840x1Qdgty4hSQ5dZ
2OPRo7LvTT8WOjdVYaFoFHTZm8nX4g9bTl0bodR12cm0lPV6ldsSLyEGk/HHmrcCRZNK52AxWjuq
ToRe/XpFUyBALoIgKN65xUlrOuq4P/YzW4Dv4Bnxchu4Bdw81JQyFZjUyuZYBV1328ztWT2oIs6R
jeal6Qy0CtCw5Z6FknNYrfkvDnU55Fvfxbaa29cDGd0Gt619iNT/F9wfwP1JI8sTpMYArN+H9ift
M7sSFN7d/4DrWh4xqDCBO6XsaXOHgDqThlZ0yBI0UlAngVj2C67TXZ1JQus0tCFqCk1vgLZfcF0c
SYEY1UpCcI2h/4P8K7j+ND4NCGaA7Jzv+uUeo/mQzEljcy22GY40vxrGHzRxfG/c/SiB5KMYoKkh
dhwIAbOuy/I+I2J+aIH/bnb1veH3kuVCBnaZ5lrGWd/1/ZtJrCi9See1+fRIfc9kb08z0j+3ZY8D
0NVqlbeJiIFTH9brFkPdxmS04NgghipiGO1c8mBU//Ji9lKZAXQPHEotgK+mihqFaAp01yLU7y8v
5imx8edi9shGqTvUFsBaxx637ALjiVVvJ1Qgcb4oV8+bQK4AcdXStQ8pwL+6ILWX7LQKtaPcTTiW
Ws6nTeYTQOXBZ/kPUtHdQH+m8N9WtGs4fHxqVb5OyHnK4wnKaxNEUjQhYWsHkp1zmxXkAnvrbdgN
Xb1Ig0qGu2NUZ2O/fXlHv3P8PsfIjyiisqcCL3MhN33QTpvUYVZCeUqlH18efi/T/nN9exl2K6vB
8mHhsU/TsYPikdoAkfyptbSbADHSaayMX2Rw3kwpROKeNA30vwSpItW/RJL8KcHOMB6vMF0qoC0m
2GFFeAhtP58kn/LDtk/tOZ0GHMGkFsfjZRnkB9QsjUmgO+nq5d37jnLU7vvHoiuosA2057GleX6P
gDc+r4Pc+vCw4fdcD5SNedtlnMelk+M7PHXMzMkqD3Nsas/x9OVUtC3peAx04LrGaA5GiL/appEH
ir/nbMicYrWUBTibhkFD2CLEzEzXgaVGL+/Pd1yn2LPNSkMZuPCp3FTl0CVvZFV1/h3tVo1OXZBp
eQ19iVScvDzZ93S959pIsQR1M7TBpm4WKV4PObSjv6ucCz4dNL7c82SDQh5NM1ebtcFVvKQs6M2c
26H/gTZ2J/4ZR7ZfGtGQr5WeLMmmCSC1OZ563I5xOS04j7o8Y/rAafb8CWVNoqCGLDfOeeK2tWhq
FK81LoFzyt00H2bXcs9pdM3YJXSu1KYldr2x/ZJd1UBW3Lysi+/t1Z7XmOys8AQh1IYEu26KoZf0
PGUQBr+3XEGr28uzfOdEyd33j7xHpqD/TclWbfqSLSdBtaIrneK+NIcNT58O3yT5gmBzxMbLjkCB
t5jZb2Jt2viw4ffchx9lI4E/EpuxBA24Mq1i5gPZHij9nvPwUCVdyqVQGzaMFnSwQBnfDGjJ1wMn
2LNnqwPe6Rl2X+Oqq09azOsp7gu5Tq8P2qD9pmJJFjpAi6jY6CHL30k1DK/nPO2Ww+QXe4Ymlx5e
SkUcWmUpc/nWrXTWJoOSEjrMxPZJ/jlfOuFILzd2SFt2Muy6vkzhWf8jbN656Wc8ktizsiUtUlRN
oOIuWdo+KlIq5esqWEdxmrqksjE0YS71h7JS9Hdfp1P9A0/+vZhnn1cs5zSRzTqBKyxV2Z5m0Mop
IXGwGqJG5aaCOVO7Yh3DPBNtBQTGmkporIWm6bcjcsIfuMF7BrokIpAKqKxNJQMf0XyS0Ptb0h+c
j8/liee2lzy1fz5Cs0oHfAj04a59E684GaH/OFnXcttqKperdKiaT23ApmrLoBWWX86UkvqCSKWK
Dwo62vgPRPmOoxN7tqzqgrfNlLNNK5OBhmLV9+0MRZXD/Oh+wQP6TIQqipRt0nZWv3GAn8sBBdVh
fm6/dtfRtC6CQOoNvJCAitBjVe3aJ/pl+MEx+I4Z7FpPH8PAkHcLJ3OvNm6ZEnKiWN+jP+YWg0lk
JEONqXPfQqvOKtr0rq3WgRy4b3sYSqe6BC1D17VQ0GpjWmg7qoATZMGBLpbvGfjKVtt50cvYdxzH
YhnTaBVNEB3kX/kefIoEqPeim9fN4FO3WWsJvdR9W/zASXznzO6qHI+1Ai+fZdBU0K2bguRVSKAT
PkqWhhx4qPZsE9KSRuG8WTcE8kaDMvweatE/ivS+J/qeuWHR1mwu03WTysVd+KVGgJ9dhosDz80e
cmaFdy3tl3UDLSHwlsIIPHECfc2bg9T6uSv3UVRE25G3zsLoLiEMWvrhtYihwvlhsrOdET4aXdVk
VaMEtQaOZKGlfoROMXjp5DDZ90y5QNBXAe9VrJsO5+XxoOs0HDlbj18efWc2zzh0tmevQJBn6wqV
hc0U8HvIC+14zJxt642bpDhwBXsmS0do9y1sMm0oGO4b7Zoixqyxh+XLbM9kXQ2xyrSKadNA7/yJ
0txHxVIf6G7YnsliV5WJWgu/SYeSneVlJS/auTxQ9D2LBSRNoBRJ3QZegUlw2HMCjZ7ZbLPoZeV+
x2jZntHyJB1ssAIP09b5fGpd6s59kpQHGtWeyQI/GozYF+649+k0vKUTUuUV75X4Ubv+d8Sne9mr
xfnYpSOZIWbzK9Q6+G+LXuofHPzvDb5ntLwILFMqGeOuzLChgyem09ofduTpntHStmAkKdQIOx/8
1hMIwGo9J4eple7ZrG3XPggG8UV0Rjpi+Aj124MODd23Vq4SrzI8xnoC0pjsRh8O35idOh75SovG
NikHGH0udBZCAc4bIUhxoOx71poxrhqo/MPojNx3OSuP0zw9kHr63Cf6WHT4T4pUnsLgUAirNiWU
8CE1EvNhscHn7sVHo8+OyqRc7Bhzl0xmxiMxuE3cYRD1+QXSR6NXWUvqhiIf1+NaQ900v/fFig/b
dbJnp8Pau7bJJh9XFoqUgvHfgnEgBw6+Z6co4dDCnwUulh2qo2HOb6GbYDhw8D0z7QY9FxAJ+7gQ
OjOiyKE3soe+8IMsiezZqaQF9HoHGkTXHl8MUB55nci0PKxERfbsdPaM1NDt4jcrhv8iy6w1vKUb
BS5Qw2FnhuyZKulmXfk2HTcLq+reBLTlm3Yi7u6w3dmzVZwnpG/mCpA1GcpTXcC7S4Mtlviw0clT
P+P7pKXpwv3Gafo7Lsj1wOj1YUPvoSq8AVFUyxK4TZ4F0PVPflsI9KkdNvYepuocet5wLd2m+B/O
vq1JTpuL9hdRBUgIeIXuZu7jscfXF8p2Ei6SQAgkkH79WZ2qU5UhzudzeI1Tao3Q3traWpe1zU6m
TV5HXo/HPujfmMR/JIGBgx2SZ8ZUQNN1JajdD2k8hcdmftXK+mdix7PwquYtC86D2P7oXPQ5TuRv
kM3/cVRHuyjNQAkOcF67CsOCI+bBZGGFm0lzLPVGuzi1TWJaTvVSQb8o/EIX5AHAr3x0rNKIdoEK
sHUcino0lRy1P41b+qPtVH1w2XdBWmfdlNpOmypx2pVSAgkz89+9vP7Xwu9CNB8Y7VQglwpSDvlj
NjfRowhq9fnQXo92IRovQOxAYA/bsa3bgsj1S5p1Bz/pLkY9HfO+brmpdGJJEWXbVzFlx3qwf3cA
/xFGgP9tawciWxX08ys17jGh82/gwf+x4OHuJB3Xum4W0oBAWQdBGfT1Q+fDg/2BvUhEBBxN6oM4
OLMwf5Yu/ZppJ46llnAXokGLOl2PWBPRDi9jM15q2R7L5OEuOqlaHdnQ9D6P3oIRFd/T5NgJGu4C
U7lkYaPC3Y7J5iEbt2rQ9bF30HAXlp1YttYYTFrJj96ask8/HQqacBeSAihE5UGUO9OW/9Bb/pJ5
dixPhbt4NJPlm1vZUrm5j169W+KqN2Q+HZv4LiKB39uuQhNLNQd4648HfpPX+ZdjY+9OTS66OYFG
XXBOOlS3Qci+05wcO9ggzPX2YMPGngC7x5HcdmwrkpkGpzxP7aHA+RdnJZttutDEBueJfdDjKQMS
48ia0HwXkS34AnRq3VKZDGiLlcyqiCb2emzwXUyueCB3bqjnc9Sqm1Xg8X0i/XJop0Cu5+2Ca2NC
HggMnonkHTHqZ0edPrgqu7jMaeLCKctBrpPkXYKxN2OPjr0LzWjtUkK2CG1j0AgfTNb0dxPd2MFV
2UVnO1MrUM9ioySeFT7sPwrWHiqwaL6LzS03dOU5In8jbunBcKzZeIpRAXWHUgvNdwGqVlCygTda
qoaq78FqP+Px4eOhrbgHa4G6HmpGsC7GNMlpMrwrSBanh+oINIR2e7G1KfrRGya+be/MGN5tdjoY
odkuQnsJ8l7akrnKOHkUAByeszSNj614totQ02hgLg3Qs6ESLzQQZa/bQ0UK3cOfdBIMriFyruI4
ictVRrqMaP/Xsc+5C1CHF4U5k8sMBAD72szbXZcmH44NvYvPTS81z+JAVy4SayHGdLoMsj8GXYDe
wtudMiYrePDA11R4QvKnwY9PKZmPvcvTbBegRsUzbyPICYzAp4A/YXRwH9jQvT+2MrvwXAOCrEgN
vqh1f8yo4LY5+3Fo6D0CacHB0yo2zhWHBsKm1G0o5bF9uAcfQfiJs15QXXk7tWe7NvEpEMPPY/Pe
BWfnQcjRG5+rvFUlp+5JZr8rO6/n2L+fXOgeZrQG6AdbleqqlTYxhU5Z/zgxtYEZEkOy5dj8d4do
wodtgFSFrkRHvomWfg4Ufz029C5EN0ASBUtrjfi3842dQcGILD32VAc+2Ns4auI26TSJMXEafZY2
GAoaqE/HZr6L0XabwMUO2xmqHB2FMB8xjoLIJdrfUZGvS/CrT7uLU9o2TWYygS25BS+djF+76dhd
nO4lF0SXTLgwY2jovbwsYfdcE3boGQpajG+XXGSulpN1uiK1hGpJFi8vESich6C4kK56O3qc2jCx
HXZiHXpXOD1VhB5EdNE9YAkMrGDZ5lZXw1VvJ7TpZVqbY91hsB7eznzR1BiaY8mRHu+ti+9Fsh2L
oT1MCeKDUKOZGl2ldTMUqXf3ue6OvZvRPRQpv8qYbDHXVQSNRxJNDzpcDs57F526w+sEW4Opmln2
uYv0i+DToUscZbvgrDcqeaN6XTGsTJEDJQ51HJkdy4d7uNBC+inoIRiDdxsQqXXMX0yQHytB93D6
MMQ9a0jCqWo6IsF9RKMCglEBO7YweyhS3+eAjfUOcZM7WWaGsfeiC/2xL7qHItkegloAw02Vz6+K
jjN9wkl67PWc7mFIJhhA9dtGbJcxpyFHrnV8bosst/xQDwcv/G9jFPjZMG8g5lQ1TbtCFgrNs6qu
6XTsHYHu4UaOG5NpWasqC2Y+lXZV8i+Tp+vBS+MecBTJOKQgqKpKtw4aKw3rC6xQcjl04O0BR2m6
bVloQ1UZwWIw5QH8Jrj9FsdG30XsIsAimcmgqpmmzVJEPubfuduG5uD4u9N06zTT64a1Gdt+LLpF
ftxEdOzMS3YlLyRuVhmkBus+ZOrGzeEMDu7Y3hxamT3eyBJLnBKrAqcz8Z/DsW5uYOei+LGF2QOO
CPJkEjt81nyop/kCHiuhRVKP0Bk5Nv9d9YvHOD4OymLlybzeap19bCdxrDdP95CjlMsYIGCtqpQu
HyCD+LLy5cOxee+q3qZ2KxGimap0yL8N4xoVLaW/A7/+R3G3BxpNaJlngZGqIrrPvkGLc7sxXNqD
W2Z3si5hsDlPIHKISM0LBuhLEbggPR9bmF2oagetGAUdlyqxzkBIUN3x4Xcopr9L0F9UvXuY0dRt
gNdBIbCyjDd1gdfiHskmhfYHpKjzht9I5dYPRs7ilkD9iFVL207JKyhu6fQO/b9Zf8hTaIhxvEuO
Nz0fKCtS0aEZ32xTBu6+p/2kP65THEBhzU0D/z62LUScGQrL+BQl6LWfU2U2cxIRumQl5G+X7dZM
AeT9YsiH0tt67Fdwm0N0E75AbLl3l4j0c3oi6YYxV9Et/tJMeTuDbRd7c5FxvPnTbCUZvm0ppfW7
hbKg/zFHyTRVmY9zW+kNf+9JLT4596FNsqsmYcRL5tLG3DTR2OQPkHUGcSucfPwB4q5rYWOmb1U3
a1+FY565yyqFpSeraZOcbbpStLBFa2nZCCVH1LN57spMdwSihmOno/t1qPv8VpBooZXHaq9lQri9
9T6QT3qwIT3R0Fpf9LWu/QcR9WN6rArZo18maCkA356PVY5mW5HE/UPrm2OsFboHv4T400BfV2MF
vcVansZw7attCruD1R/dZXvIaBvGDYGUctKOaFlB06ch+bFkuYepQbjZoQoWqmqZ/LOm/EOddgcX
PXtb3Vg8I20ixryhlV3Nubirk+hYZ3OPUEssYDUR2l8V5Im2og5yXuQi+p1w0H/kyj1ETYcNYRwv
jlUT932x8ekv1utjFeseoNaDm2uh6jhWxhn1BPpXdzNC1OFYHv5bCekfr7st60IzxGyuIOxBHyiK
b/AKzPL1UB6+mh38EyWhZWOtVXaseNaYTzqbPF4ihmw5uBV3+zwausgHBB+VwQNgO8fzYHyRBgmf
Tofmv4d6LXJa66BdxgoPVX+tit4lwXyMckHj3WZXBiJYk0uhPhxCi7ZYZkhmQjO/j/86NvddUWOT
yRPI+qtKTLnPinScCN7Ysxgyo8d+YHcXWdUgonBrUCDAmBCKISukLrruYIGwx3updK0hY4wjHG80
Ggq80VUWCyokx+Z+DeR/bPs1BJc56YYRTFQh7hixyQLZac2O4ftpvNv4cw+LAIgtIZMNJr1rBxJ+
w53WHWsFx7vyJt3k5OWMehWtrO22prWp0nBJD2763T0khnJw3l0TfN9JOFisU1OYRcqDu2Yfszra
zIZ7chW4gfzZAm3+p5dGHkN+0j3oC0pcUP/vuYJ0bGqDW54PURlCYe//U6n1/1Lt6R74BT5oXTOR
DZUXEdGvind2LOt0iCH+OI/BKxhhT0GQQ3MZVRzPyybHZfTSBkkyHvv6e3wYiLQsND3qz9VNbVbC
ywUCFLIdoDN8KDj2ADHoHXncWa6ZqV6i+l52DbQT3OSWsDz2A7t7iw+NBiU1HipCInhIbGu/UogH
U3uwRol24c1mLzUE+ofKmRiwZW8+A73/89jkd6EtFumW3MDyROlhLreG/OWX5OjEd5HdTD6aZ57K
CrXtRUDGNI7nYy2AvQSjDIKwWaEgUi3UziUPKJ4aVv/+2KLsonqByUgTQTisqo3OzqaN4ZKTdAeP
yj1ObE3h0zrgi1ad3oIfsl/JTx3guDk09z1QbO7pMELvS1YoV55S6+/F1PxGy+W6335xVdzjxJoN
74xMj0M1b3F7FwmdFfCcXY8dYnuo2MpZl1lOZEV4NjYQTsumuzY1Q3ssTPeAMZpvI4FenqzSZOjL
Kc9uOIV85bFV34WoVkPT1Hk3VDlt14dZS6hiLb19+d+jXzPJrxZ+F6T5yp1dI5zvwtMJVXM4N/kZ
irkweGG4GA2Haiyyx+5AnqOu1aJF5XX6Axd1uHe0n//3X/DrrUOuUlL/rFCoDfE0CDoWGIJj3RfT
bOyfK5mOaQOQfLdAHWrloa0HUeUqq9HdmbNbyRJzKKQIxK7eTB7GFWbzGpOvmxZ3/ChWBTQfjqUD
yG++HT1nPnUJlNWqaF0idxo6PP6W/TD09tBlERoAb38gs2utUEaIKmqZg59TGL4bQZ46lCvRgH47
umMdbuTrFJyaqNnGux52N09xDF24Q7OH4c3b8TPHaqhmNmMVGujuFdhF/TXfh/nvpOJ/vTWhlPv2
BySUKSebd0iYSfzBLOH7JqoPbRxoBr8dGpIkSxbCXAQ89CQ5dRrvS95Ew6GcA8vFt6MPyJABB1T1
HKW6fm9doD4MbXKMYgept7eji26IroZx4loYZC9KkgSOIkl2OpYPdtc5hZZXWMtrwMKxphin7CWg
TXdwYXZXOeOWwRnXCcBWoCtWghE7ffUiH+1vxv+7WfHvfAxV3LdrA/v3eGPMIJtdBUKfpygazE3H
7aQvuIiZ+AItPTZDgVNA+zRwuBU8qLSf5Nc4IvRiWOxvUxq4BLYHsNxD0zHg/FkOyRaXcppcV/qm
rf2PsXaduQwKZ25pkn77SSSl91bB0cJ1Lfz5arNiCIhUtEUoIWX5CusM17/wq5DE69Blaj7hwkY9
/lWvZRsC+fkEg5rAn/B/z90jievR/jz0RfeAOOAap/hKSD43ddQ/2ZznD3EXN8cOWLKHxI0Bh455
aHkVb+GfLJ5e8qh5d2zm11P3H7dn3DWdDNjKK+KBsxUxvY3h7fGbvXLdc7/aKruDz5hANn7eeDUp
iGnc6tmL9ZQ7oB5OK24IDZQ5mWi/HvtLdsdgNME9k9qEV4EK2JnyVVy8Es3HY6PHb9epdbXBHZHw
yo4Uroe1/7z08e/W6brYv1qnXRaOwqYzXBteMWG6D0BV02eYU27ftz4KftMc/K+f2GVjeO+lTawm
fp43wiHMvEx66gqr0Wy/7VYw2n4DyP2PT75HzQGe0BjLRHNuuoXzi0k2aO/3ATyV4BATl0B0H+sq
kT2IrmnRO6m1wKINsDXhlH1GIjpYU6W7FB1AcASNgIFXsHr7tpD1spDo/f/eSf/xJfYgupQAy+nB
wT3xZkqX21zMyWXMcrz7s8aK8BC64G/F8n/GNcSUU9Z1MHipr0p/4Lo3X+C4dozaCiu+t9Eww7ir
g551X6VpslyAuYZmbhsdu6yQPZDOdmhFEhO1VUczelHWQT087w7d40i6C+SQqQj+SqI+Rba7gzda
QUd2cM13YexIKOZxwdDe03OdTxfZxYfuh/+yLXJQKuvmnMNhtovv0wQusuxYF4/sMXSAFV6FcGFe
q/p1uuvneYHvKPnwvzf7r+tLsofQ1UnaWkcCbPaomc9KaVq4XNDLsdF3URrmXNdJGHRV2s3qHqjX
z1PjjonDkj2GrmFpE9gYXnvCxeJicpgbhXCfeT029Wt2+Me5G7gN74ZSd1XX99NJtdlDkOr5fGzw
XXhuV9uxmYz5aZG02y5xvH5UmvNjTUUYX7+dezvmyyTokJ8GOz1xMVa9Ho8d4nsonWu3rZENCimx
QKh+MAP8ZcXvPMD+azPu4tMCne/B8EMQzXYsgBorFYOi8LE13x2wHiI9s11UB9aSdOXQKKiE13rI
jwHSIEj9dtFzOCzSlCc5iFajj+F1UOv7cePdMR4k2aPpDBxEh3Qi+UmuHs+eL0AB/GZl/m7V/qK8
2WPpKPMRxKkaePe5gNj7sJMJCEYNxDbhIozngy7JPSnSycrkzNBdW8tp4YmFhKVi7jKZPJzOXkVN
/F2mCbwna9gTpIc68ITu4lBAIN6TLJnPXbrpS1IvEP0N+LF3NbIH3pA1Jl7wZT6TVbZAWSyvoFT+
zkT9P7bzXuDHrBNkclI3n10a+YKHXJcpP5if6O6YTLhhAZnsfPYSEg3r4v4KdXuMP0T2sJvAKznV
gphzA8T8KV9b+IrHoG8disQ9ZMID+lx3Fsk0VfGPWZIPso2PUSrJHjHRStzYR0UNnAB0WGwqrs91
DejMoZnvIaFbMEUQgVmu7SS9NLcdLI3MuZ35PJyO/cButw9dB1OXqE1Pm24ZTkvXw9mkTVhEfh77
gd3JoxduvK2VOZuxVWeZ0fWkcnro2YPsMaG4PyREEWnO0VWEbk0myAbQ9BDYnyS7Da9SS+FBhsGt
gdK3mOlUjCI+BjiFH+Pb7E1bA2kGM5hz3EeqJDzqC3Rsfxxb9N3RM3I4F4VXUyAbt7LIggBswo2G
x4qsPSK0AfA5pAFZziNgXsXIdQOjEbJ8OjT3PSAUBr+KRGxazkGOJzjKfXPuXHJsYeiuPuz0Go1A
BSxnKJrG7wa58R8s9OmxmnyPBvVJu06LQYocBiZgnGIgT0Tr30nwXEPyF4cm2bXZRASLez6S7MJq
kdh3rZGdvDgGV+EL1Qqn4KH134OpaktqGvVIaEmcBScbw3hx2MwxMBU8q95ue9XW6bIwjN40Q3fK
gKQq89H9cWzqu2TGe3wB4Bn1WW0KfuFy6k+zrI/lmj2YKlc0XGSS6LPlMLmSbRYXUBj2x5LNHkzl
JK4bMJvX56X14hLN/KOP+uTgJ91lMt9K6kf0es4qa9NSiq0vAUk9BvvHq/7bTzqkLl3SrFbnQAa6
7L0aCqLcMeUmMKDfjl5TKjTMnxQsuKe29ImEfRmk5Y8df3sMmIkcWs66yS59P/hXH6rtUx8Ov9N6
v55xv4jYPQqsJusaGYCVz4mOwEe55ngF9+ni0G6Pd7kMDjdoV7s8v9AArXMb/BzF8Hps6F2Ucnhk
1zC4SGHBTGr4FnoA/JZ2m78cG34Xp5GAEbcPdX5JlByAYe031j6wSAzZsVjdy32pOTMonFR+yeeo
6PP4ToQHD789+AtCXNPiYgwtKUrhKx5iOAZIJHvkFwwUurpNp/zir9JHfI1oCZuv9eB22YVpH4p2
8W6kJ6hw3QxavQvZMTVBEu9iNEwAKiJS0hMD/KEfggc6dC+Htsq/IF+QEWo1GWCpxoyMKqoEeNft
Ks3HY+PvDtVBRVMvzJhe6Bht0DinM727UvV+pyd4DcZfpIA9nqsLuKLZWrOLVMF8s9TWyqc5DZvm
DJ5qWt820q/t4+Lr/4fL9d+3g1/96C58UxfXg+0ngZvCBtvDMhKdiNWZc0SduLT1xkUxjRJ+MsVA
JpztW+/0kN6OcBVu5QUX657LQnhu3W1bu6D+TsgK2N0QAtLKC9I7v8KhN9RqeuAsytSjnes1Yrdb
QNOJF9qLJuiKkOQdaQq9pAqXIhhTKlUk+TQ235VupYkKytNO3hLPIfd8crjQp83JTXbVJXek3z5A
Qm61XZFwePBA5tt12zwUUW4CRovcQbud30SKM2jTS/QsF1mAVyAMJjin4/BRxRK1Y5/22V9SSfxn
bSZqTwxwX1IYrBAvrV3jrvLObEzjvkzm4fuIpm1qik1HYbQWCfyy269DR3n+U8IuTloQOf2oZQG1
r959uYL0bpSXbisGiEbN5bp2c8RPsG739dnjySY+w9Jum8s6w07LS8tWB+/L2PokvI8yy/JLlxgv
wQubRncDGf+hTJmy7LEPDYz9wo6spGxTNqEKy2R2yiQEcIttatg0AL/Zj21zWnJcseCJmMBUcMTM
pkGnRRazFLwR21U1TVE2IpcwGOzha41tV+gMlV2RR4GQJyOH+NsEG+TT6vyW/jSdd+Si9JjwJ6/j
jH1qpzhNn8hSE/Lg6zYzzUl4cFToJV9NBEUEz1IjHsHQyPC9VNcpTK4Jfd6YSwhVY1RjMhw9v3GM
bOuPKZPd2JSjRTP4NgUDKX+NthRihKUYKJzEmiy4ykAKI4Y1AIvFA7QFBZ0UHoxnh285jrdxgkZa
fMs4vEsLznh+YbyFJyfbVqlxgXXBbK+VpZ3vQzPz86qRo57Y2Jj+ddviZsiwHcbYwD87mbdybFoa
QyW2dfD+tDD7+5otZBjv882jCdQmodl0saoFzXz4osKuHBXUshBY/sH/lfQvEc80u0BghW/38FOM
0NUOF2ireTwzL7YBdyt0M1uA5GQQWQuF+RGLAJwZbVOqPqSJjLJTW89J/wN9kEwgaGCAaU9zn4zz
Ezdhw14Bz5rkpXcpaEL5GI7JnU+CmD9E7cr9H90gRgPGjA5G+jQhaNvzoFoX3yoZ9dPnNpCwQkZ6
4w1LilTCqv0pXBYe/aB9XWeuqJtcNtW6Wpvchbqj45d+ZS4poXkfgo3erCTKIe2cMPGzXtaGNwWf
ePYjIWxSn8Eu922J1yWcXaBKjO4RqD54gE7xGNCfY68tvCBhduleuYd9dKlaRNLPnmKb3zQ89k9L
HjYXeFNm/XOmYU95DrNOte8neK76dys4EjEcz2PoBmSnqxIxu53XZRj+4ni5ae97NhFXjWMv6mqK
80jfmwnmu2VPCY2/Ziym+R+wFK+fQCEP7vCM5H+CHSKLfk2aUwOBoOC0dT5b72DyYP0NxIPIF5F3
ND8pAabjS+paMTxFTd1Ftyscbt0ZxpP9dpM7HbIqZRsPP4es5vX7dsobVSq3BNBE7MN8Bg9FMhj5
wZ020Y9z6JfwliimxEc4a9Tjs0nytL2ELR/T07L1FrlzTTLdXoCfjvTjlFv2U0ATYChrdGnW53YL
NVJJO27rmSXjoptTiNcqe897CBxf6sYoMFSC1DavbTbn9FYqpVix1IFmP9o271XZDDNf+iIbojqE
ORAl2+0s5LycljUOg9MyD3FUDMKv6itZcszglIRNBDnDDbPogmbWRb8F83AerpI8BQTtPH+Cq21L
zwkchL/FoVsZ/M+aAbqcsIJgjyiXmj9rhHBa9qKNJYxW12T87Cb4M0LgSEpInhWEe9/drgtYsq8O
/nS6LtppSTfke6/WcSx6GNHD3xgdbzv/XI0lySd4ZGgcCBxqNfl7gVGuH1ItRp9h4oiXzvOwxjIp
wP0ckkrkUc7P1sIt1hVNtGT+ft3mBh3MDdZP+U1YO9SIYLK17e0MG7Sg8Lrrgg8s4To+tZSZ4DSH
NspPqfO+/6RDT/obu/g1r4wcg/o0rXHtHgjctd6F0dx3H9BFjh0vOiGW/ALV+Ga5yzluME8OXYjs
QnmH826p62QCzpvC6Vg2Yc/L0etoKanSaQDegp7rbgV7zs/R+yXkEmSMgS7Lu26DJfvNiCfj/mmE
0l0HK3FH4XADXfFiWnUe3UYkn5fnZJ6C4XvcbZl4YILM2GNDK0X7BxGZx06QkGybz2OTdfaCv2zr
z4nkdP7IuG3ru7npenILEi0Tj0bHMMU6Ix0JdoKXEan/9JBKhqb53PbJzTx2TQNsM0hM2CMZdJTu
2n5x6gbGrgSY4RgY4vA8K7geFnZxQ/wBv5l9slG7bN8EROPBSc/jdqTlBPnFpgyQn+pyq9X2oY/Z
Qm6yXIHrkgwDwKrS6iwonTILPN/0uG4gkNg0KvGgkLXvMN0ked5W13Q3wRBTvBx1NQ/Mq5R+HO4A
3W09qqLBbz9xaswDh0ZqGEYv15caEpbwok79ow9zKmdkYu/qW9goRzmEZhkcwR5WJOTpGe4Xs74N
lzZfbrYFRuDXk3troQnQYBnnuVhyRHkIvbrGm6acutW5F5JvIi/gNJaxS0ol8lvBydrr53CJsum7
17OifSEWuyW3jpJwe6LY/e2Xft7gEYM/koz1M0drfH2fcSzinY/h5XwaiEmWG5z/gWqwuLG059Wn
6dqgeFpGj4+pG3uxKw/kxzRyi3xnsWb2buqBwHvubdfCsbtvx/nLptI4+Srj1GWygEJYOCisFLm6
dkMzNXwH1Xqafx+hvMK/TWLiMe5XEEQkpezjPr2R6TI71G9tmMFCfAqMw1EoNhwfqPYgGcuCxKan
GSINowNsNA1+QFXe0TLEod7fejPx19Rgf595uApWdpvH+4tMB/o5iYGLKInL6r7EXZSmsCwcU1PF
Ik2YLcgWyulJtbCHzosI8p0XlfdifCRSrYEoGBhY3/txWrZLEnXUPkdDqKG/i3fW/JVmw9perIBT
zrspbsmXbIbLy2mmNVoBWRcs7MkNqk4voe7X+BnvT2R4L3g6+/uoH6YRCZMiNgCLB1AtqzhEVPVj
LUWutjKjtHnngHwJyo110r6f/TqBEA3ea7yWkDGseZnmUaee+YweU9HKRkxn4sCrFRdQ1KJzVpNh
OOmwjvElulZEj9Soq5Mrm6/FTwa0b9uUeWaT+CTNFEam4H5zn/tMQDWp8BLEv1cFchv51MxsfNCD
QcVVtk0flFEPVThXIrvbIl0ZWT7HBrIHNw1bFc77dAtRphMQeNVSOEKD5bbDFMIXMw5LWsYJm07c
tWao+IZQ/5qEerWXOIX7MpxJNCTPItqR7EQEkJjFTCJ/yXEYrUuhk7qfnwygU/lQSiZT8cDn2j1n
7mqA6rUn93OW8fCcwcFmwzGKkuOkPUXaX4UNmlvOhmR5NbCqt+8HbaISbekp/uZEvdqyXlt6g3IN
tpYcLJoRr26F3vr2pl0UhDUoeNU4bEnp/ZKrYoQZEjstOoxvGtQDn1eZkvsGUkqyYHk/zWUbxayB
ZquKi3GkPbvL1sb9QcH+6R/h0A6wrO9nnz9OQazfhSskXnEFIssD/Nhjj9opovqdDRSQ5MuWlgw0
8ke00EHWhrsogRo5mLyPTmfxx3ENmjOPewZvb7kt95aL/LlZoaB/4tjGZbKZtYzburuhlOYPhjXu
rok28c01tv+QE6HLLmQvItHyY9LnQ140oZoBOzGC86nYwi5f56JBtesuDvZu7obZuPnEok3dLb3L
8hO2Mysl3LG3y6D75M4Bvkg/rkGWfmjESiDLHi9DGtzUMrWrKGrs3Aw0edeGf3RL7ZaPScKYK2wn
YRlfssiu7tRd9QBuhds8ZFMyHTkFZ91pmmPcYzoy9qeG2Si4sxEFoRn06TW8021U509zsM3LxYLn
H37yTMSszB21y72hKmm+oXKV0zlZ4Hh+ozrV0Yd+gwF6YZrBimKNlM4+ESNU+DwRQ9QZMg1ugCTB
zNrbMbC5+Bq08BLuy8R1SXcK575dCpN0KEXzxaRdqQVqlLWoSUCIKFwCO/ifW5aQ6cFuo/U/YEq1
ohxqlyzB7haIrUQVPQhD/RkqOnVc6Ux0/csW4e5/HgdK5GVJkXdOuNE06e10hd+dp1TG5Bmkmj65
B36WRKco35L8NgJtavurAz9APpt5yVRYuryx7d08zSRkBQRFMrxI+T4W7uX/cPZdzZEj2dV/RTHP
wiph0ik0+wBTlkUWvXlBkE02PBJAJpAAfv13qrWfVtOxM6OYmHlpkuVQyMx7zz0GrTH30AWDsrke
ta419oW85dY9dQ2W5H2FZtW+VrSS+0BhKoHYdctfXe1XzluDmRba5FlRpBQChM4j3B0olsJ0nLC7
62Gc46nJBvHMoOk3T8Jib3/RupdeGVPeOziv0pY60z2za4lUe8fzuB8akw5NJFO/9q71KublewC5
f/05FFCzJaJE1N/dUuezhOEAVcMZGc+0Qlj9BHfXrSwcT50ZVhl2ROIPvcD2lM8cYGHeQr6/K32S
251f5RVp4mAdUAKENWMsgw28Qv+Biq/so2XqLrUIYlyMvS3NMGR2K6usGp5q7ahpo0rHyL3WcqT4
xlZph7j36nl6qySFFonlldRvxlb9tOky0jiRrEb3WPRZyqIes0dztZRlkOEr4QXEgBooezR0U4+i
tGewk3kaV7jkwgigT69U5vVbm87irve9xaA6oOva3Sx1XYcD8jRDiMKy0Ue+mCjVZrGCLlGGCNJx
v/oaDVouRx5qY5XThWY0Vt9y1/L8+4RoE5GsFSF5zOzlXA0zjYyJXYoy+6qANRfuOt9t/ENaItP0
2GWLepYCFyH2jQncOiQFpsxPul5LB1XqQpztvOK+3qIOcPnB4Ago3631iy1aAFe+Klic8zyiMiPF
XTfRPIcltNuwYgxxk1E/EthVF3RzDoRzK8/d4lqUlqzRgAX/WLm0Seq0YC2WWjoeFAGCcQJe4dOz
aGdWHew0yA8gMS8oPYzHEKnCQAFXyIjx7lovS9/gZ1EWcdZgUyzKoToZQ1CZrTAYsfuaizzq1gWB
I2DQk13BB78+9cbX9WlIR30cu06V70hwNl9OX2kdz6ODrzGY+VM1BpfhTiVwts+BfWKoJUycrT1q
dfCazBzWljcbiJUlC8vOZqgNQFuYEHYnZuC12Ak18B1TXlsQ+hGRKC5ID4Tfw1OFYiz0KBjoe0Dp
Ul/5veids89B4gMpiLfZtJ9YlpkaX8q4EA1Fd1oWyUx8UfKkFKy4zXpkwycuhAL993nyqilyciBX
b7A7QILsQIUOkjb3Fg+3ZuHdDwX6ke3Sljr0SmygXTiNA1LsMm/MvwnaaO/Jt2M+RUujXXQ7PKin
OSwnUTuvReGmH+JSmuzEDJX548K6L1PVJkC5K3sXxWwTVONOIhNERJINzZeiWLKhQGRHhFgQEiS1
DMQP8K/yV1yERSTwt0wDtDIIVd/MHrf8pcscCf1xIVMgg45s4IykO1hxxChKGnugTKlvdT37Lva5
IC/bJzi1yTLyhtz6u9IEyyda52w9DrWXfjV5vUqKgO5l8q6a3Ab9o5MSRr9cRGbQT7SWOZCRMqNX
Ug0V9g6SL5GXub09DzLlHaRGmC0FGcvIuXAYA5qN0oMcqYWh6EZOA/Pi2azETyY26Smsm3G+hyey
Gzx3g5xuHSfQzyLl7iPG7WbdqhR6i52j0BjPdTNPCQsEDH3Xcuqecc2rY+tWoLWxEgnZ8DgJ1F7l
UvYR7drGhp2TVi9Q6s5hT6GT6brAsuMwd86ZMzufmFxzsVEpLEaSmi7ztkesxNbtarIPkGOMPa/1
9VMuM7rcdJmCenia4PcT0n5Mzb0dYfH6Bg8ONGd6sUH+AmjY5yGbFlwHz5YltgXpu75CxcGhPxbE
POYzQ5HoA0rIMlQZJXVgD8tXJx5Ag6cJFRlwE4v8c+SU8GEttl5HuifYr5fVnScUROAzEhjuCryR
0C8mtxsjbNuLseEAbMy/6aqcB5Hf4e08KpVatSn7tMwjL+Cd/bhwXfeqrZvmOHO+1niNytF3lRvY
+sbPuEXBthT+RojOUTtQKLm9BRTdJtgm2nYzUFrq2Mun2gVdDsmtibIEmwh8YA74LgBHpB1VHdpt
C9LytCzmTjt5OUUtHd364DhTs25hP7Z+OhSxSWGNaMhjtqoZyycVuByVJUklgzHqe2MPvnJRcOZF
e1y6nN6BvdxDIQB/R+AcMGrwA56+OCvo5BsBhczyCJxpnnAQaeJ+GjFkHkcGTrUCHtD12LX7FhOK
4i1fe91E+KYgeBdVjsocO2Y9NVHepx38y2FeJE+wSBM8kpZ1435WQY+4euRmI7s0nZgoQofC9nBj
pX9ZhE45ZRnSFXt0TNh8qrhctbR7A1GGDD01mxrLGPOurxFnZ7rvBkOyeIKjNgETs/EC90kFqNDi
ycohj3gwMWh9DFuqp4LB6SUm8JsvXmoAGkHYtGOeP5J5xe6ROQ5zD4y7DY0a6dVerICGTZFqJ0Bb
IXR5cxaX0HGRm6DrB3GLQJBiChe4QHfJuKRUhYu3BqhgZOeab86AVIWQQuohb5FlM/FtvnSWf2P4
UPZZo0BlV1S7NY+Cmlfeuc4sgWlyh6YgL3TT3C0Q8Fcbr9SkWUIKsf0EADNv1wyNugHkgJt6RlGI
XPO0Rxi11OkpV6RY925A5vYkO+C0Iet8C7/0Lh++CPWL/Npb0xZUkJRU7W4Uk+OdIVHjDGtq8FeL
+U+7dBvkN9phA3JR10SYqtDxo7WNdhCQuBqxd2rAKS+kbi7fEEPjE7uD7Ero/tCANdcj8MMqgr7C
6DGE55DrHQnzKJpLapx2V4BnMX1Yb5E6ThlLzdZiv7bxQLuuSmrfF33sIZHGVGE/NEu+QTdYy2Ma
wH4N5Mv6Eg+GtDQVl3kh50NqCBcRdCKZpDGcGAgWVJE2mGdjFKqyA5tmf0XNYrpgB5BAYVrfo7YL
gcO6VQht3lrGPW6DehPMo9t/8YJWtYPewQ2MH2Y+TEy+d1VTQ89VYUJmcJg2qBODyKkHuWVe5y3z
vnKFL57gGd2YK4vWfu7wwYugDFCDzL66obyo52cHn0Y6Ye4aX42bi5s1GtJJrFNwPV466GPqqGpG
8QW+LAymljTLbpbG1WhWhtFnWOBBBcyKR5i1UHSrRDey/VYs6K5Bp1p4Q74GMzk9igFO0TApA7nt
hLQaNRy0VKO4odg8MpSKolw/qxzTiLeytKraBFnQOhZXt/NbhCWzobgNUO5jLXuSB3TToTTqv/Iu
oFaExpVwa7Y8GMWDC3yuQPwL8H/zIYdgrJ46Z1TOWWUY+NxOl0YVjgWLqL2ITz18jSGb64Z6nzeY
e+EmCTp/M3A0PixBjuLYHyFKzaiNVsyQFDrdYuAFjwllRhxth0nSFaprwa5QFgX6vq3LajjwzLdq
74wIM3/zCUlJxC4122ZUjTOGNfesc6UIDJ5unVGPBfY42NBHEpVxmyxjI4brQhsIXRpK+PSw1mCR
RYJoDHkKv25hMTNkjvkmmO7SB99qbP4t8g3KaT04K/K1UbLC17De2y7zF9RTyKCOXD6bcbeoVvq7
ASi73dYVW8kTUEVKD0WFSWDUkQYEgATSTTKIGPfmCmzrgqg5m37wvDHyWVM6IdbciXV6CTBrpLDH
2BAX1Op+Uzgu5j2sxYhnCWtErIlw6eeOxkPOabAz8yjXXRfMDmlh6ebZUQLTy5CVpkbpllfUHbR+
ohqu6l88C8bmCoVtwTc1zUd5by1GM3GdiTKDOhHk1HPRtjU7plndVvdW4MIcF09U+kBGROqcJrxX
D5Hjy0rP5cib7DCXg6we0egV6RSREdVyH5dKNICtA3i0FSQasZg7J4L3B1u6GHNALuSmAjX4YmHM
X+FgSLQbSQkDzCZpMArS4x4F2IALa3jZDWec0y2AZ5BxMEpD7SaXex+XHeIqSfNqfcT0JJ03E1by
Rq4rv0ITzZyj56QShR0jcK/zLmM84W1JyVi3rUre06u1VhC5ut6izKstRgnTimqEdcjGZN285KFr
GeWYcXogXZFeiyliADb0WzPBsv6sYLugvc3F6tUFpjFTpK+LYZVTGcnG2ipemuGSKGc0u6ZDGrT7
AOJyu+vbbvTjbFq69srT8KkBREowb1XLwMdNARDfDR3tus4GM0pTxLXIJNrOrtcdKiS/Kfz3mSPm
/ZiuWTnfwZIhMMDe83RYP/2W+tlHVylS74kPqeOeAPXtTxBoD+ahhiU1apuWBvOVGzh6+b70tOyu
liVzNAC+2RPRKlGOhMCXR8xWCq1B9utNcBpJo21kFgSH7ge8hTIeV8+rInDjGWbmQXBhNE5iI0Em
va4nJAM/Eltl+jSY1W0PHLF36+Xb5im0DtIsiG7XPCg/APM5flxS4XQaZq3oZyLd4m5vElTWFQ5I
bKSXNt8Onb2RzjD50eI47oDFIvoBcomOXq6g7ABXoZIYqLzRfKodKLsLXnyOl/Pxk49QqsPegGb7
XsnFDQn2u/reHwbPYO1ltOlN2AkNoT8gJgRF8ZwUJPY96oBe42d9eu3l3NgNtlF4IU51W0xfppy7
+UqtvKHPwzyyAM1LX46HZeHr/Cx40003Fw9Hf6ebMQ0bmN30IarR7AKWd/OEMxcDzLNYFskPOofS
4BqDkgYeDKiNV0BbfQXUiiK4MqDmHcLVXoQQFnk2mVlXAbUb+vwONAkXFdGEUOa7EsxGnIvI2IB3
o5xEKp94RyTIvS3BPGvatunQKxMW0PsFoRLgEfgRZt/D+AUgKQN4C8CGmHegFWvhhMygfC1Dil3W
AEOsFdQeIUzq0XduZshDEQ7UzgHLX6GwXsYhHC1CbPptMxlalJHt4R+OOpSwmbrx4OegcsT/rgcD
e16Hii0mVb6JCBhBOnSE6dMIRsn+o49HO8fJ5lm3l/kF+83Qfs/dZc8M0hvl6SEBWrCO4LU6qbP/
93ScybzooN7BqHueY8JKNYbrktMbDKzaMWYpxN9/jcH0c/gcW4K2Ua2uEyJfyuCBTZu/xgG60Pf+
l/KK1v6EcQ2e1y/uBECLgv5FCY37ky5KwfBQpgXnGxyTBCCSnMhJY7fWf6Lh/ZHT9q+YPj8xOwGF
eQaMNEwmHKy/PleFOTbWUbAR1EMHwMmbSsQCcNl751kDukWDVTokUs6M7+mPL9+FVfSv3sNPxLIM
I5q5cAa+UUgzreMCOoITyIN9hHoN40fM4sT+j1/p98hUP/HMhl7jVgOneANDgJ7fm0WlY9xlqHNj
i5MJ7qRwJKlRlc5L+ydX+HconD+7E5Xgh+E08eiGCWRyGNjOJD2w5j/5QL/37D+xzzok+mmeSwrm
SPNRDe6TFV3616Qj5Cd6KMr0vumylG4WxH6E+bDsi7H2/+KT/8QwM65rWjUyugEGnWCQWoSpC+Tx
j7/m37sqP9FD03kqDJUF22TE0TjTpzR0c5z+f+3Zf1rtXtX5YAfhunhrA29eI5Eyuar7P37y37lD
if/brYQNbmO7ucTtknPpfWpgSjYibPGQKyS8pgu7EWzsHXQltPtL8Xz+z44wucgsh40Q3SAOlT4H
/aCvSxfw6h9/oB+b679Y3T/7wfBy8QELZcGmETIHAi3bxWK4gv++FtewpwCVN37SBm7LtkVXPpRr
8eDiTqO7VBdjjl4lyxOkM37Ok4/o5tBwlGT//e7+49v8n9mXOv/3+9B//y/8+5vq0Oxnufnpn39/
UA3+/6/LY/7nb377iL9vv9T1e/Olf/6j3zwGz/uP143fzftv/pGgLjfL7fg1LHdfeqzNj+fHO7z8
5f/1l//29eNZHpbu69df3j+boo3R9AzFN/PLP361//z1F7ALwd+QWFf/8b9f5B9/cfkUv/5yKsA0
fG/+9cO+3rX59Rfp/y3wuUcpzq0fkn/79ePH3t887sFJnXMuwNe9cPZbBJ/mv/7iBXgEgzwIAiEC
gP8i+9Rq/PEr928wamFUEiHgzMIhgP7/7+03X9E/v7J/a8fmrIrWaHyiy7nwzzuKCxoEgkifgYfo
uhSf97drZXY1MC4X7g/thI4LKT/dFgouGA+V7jVmx3KPfua1BC03pBlqpJSlJ5SKf+aALn9YMv38
PjyPcMo5GGHsZ+mFLzNHuSqddqzSqGO4uwn8aqPWiI1XeX4M+l3PzmlTADqwJcaAGlSWLD2V+WyA
m/gPY8+vtbdb9dNaXPukPYK62kWFMDRMjYgt48fOBS3DTjpELXkLM56tm+o+pB3DLHB8tLq8WigK
y7RNykafZ0AT4KsdPL8bMRzepLp5Dprsxik7tK20ehgLf0iQGfwONhRQNj6yGBQIQCEkG7pkxgvF
o1iRB6QKDOq6B3+ZN1W67MrMP1t0eWEQVGivZkzkffOSM8jbMlCDNzAECdXMrqa2cTcUpILFOylH
bUCwA3ry7FTrXVaW9z3T4AXNO8/nhxasMDCbQsL7+3mmoE3WPFzm6loGATCpbKKAfZXY+bR4lgrG
3mI9oCb9Agd1J8ibo8kjz/Dyhp8GOtyx1N16RiXu7MTW8/rQ43gbTHrRMlaJWeoPVU+fRe+z3bhi
VtpW7LsH26C9pl6+b8BC3/XV2MczX4/GtSdHjDrmF5aXhQLDX9h9U2f7gdzpFoN49MPxGtj7fs7O
LjwZMewtcbVgH123S1KAE8AsKDL+YwP3PVT/CITX9307fwcwtZ81eV013AtQ5Ie57V4yW2CoXhw9
ENs2aIfiJlUJ0I5H3F5hRTeE+UEYuLzBGGFKFjJdZ076knbrcWL+3cBlG858fATqHrvup2pAFCfT
cZyg1glAuFWYyoWuoX4yeG1UpXWMLL+3EmW8F6BDIHP9wnFr9jl7LBpCwpS0n6oHj27J4UKuyyYE
vy9pSvONmC7Hr1M0hMvBsDbhLrzXp/y5bNyHoHnmw7DelJWtnqe1OeoquMWRPMGPFqjwwDK7B6wQ
86k6IpkAQ5J2Z/LqhY3pV+Wo07LedPRRo99ERidI4JgC3HqA2UPHrvsuK59xUNjdOKl4KvPzmnIM
03swAFADUf8mWG4H0Mk5kZEechoqhKJcBVLvEECbxSPLz2ZO6yQrzQ4iYhgrmxlOYi3FoCo/g2d7
1aomGjDTbf02ogz4hJDnohjLMEvn5241u7ViH+laJKVt67BCKwuWpTtg5VRQ7DE/Qc0KelLxQWux
6atz4JLIdu5t0zSxq2DbSdYnIprd5GFsa3L4+a/sGbqNCLmEW9waQNBAcdwDdgzCySVjBNj9Wo3u
Iff4Teutj8XkXaId+WvBoL+oCgjcVxotIFyPzXzDPQTXeXPUroIfp9YmWZ9/Y1NwdtPyspy8GwkY
KOwNvSngljRXiIaoelR29FNV7r7s11v0icCtPdVsqrrd0ZbYqxp5QRvFZwH4uLy7nK3RmpIbQK5F
0rrnga0R0QRXvsd1Is5edMUJ55ZF9+bbqBumTbBgjg6eyhlIyi0g2j4EIeqhgFMugI8gKmjuhthp
PhTsCIKFPTXg1zL8IPbKCp02BRozq6PKh0e+Djdpa17BAO52uTtiXMvF02qXe25tFmOCMXNzVMhe
mJrhgTjyZvX7V1PTN4RsA2hMr8gyvvZL9VwBh90a0Dsy5oSLo5JhWpIV9Oi7JXDuMOLez43bI4iy
PZgxKCIQm9awD5QX5uCc77iwe0vEzvN8ODx23/2q2YIZ9S6ytQCtNd2DP+2dwMbuw7YHkcvtxReY
DU8znUuIXoOkt7Ai8GUX5UGtk8aH2S1a3p1Y5bs3XgZ34HOF0hBQTnISeaXz6Cn/Cix36NCH4dog
V76X7cfCeZ8EDWTXwHjey4pjYTQgjBv7Osn03DriwbHiikzmevWATOuSL1uNubenMkyTg6/L6A/Q
S1bHbqGvoB3aYdR0qia7GWAiCjcb2DcsMNuLMKEEfg+oAYO3NPFJdcTS2xt3bBPQ3c5gLoB+kGdV
4pbOKSDgMxZZ8TkohOKs9R0xtcZlzm4xkgIz7AevAleySgbGT2DE7dUaHKy2ST0cWG6iCgnoO4WR
F1nSA6Ovo189pg1sFcywrRDcwW0b9RiShoiU2QA/33YDizv1luv2upH8eRrcPbiSsamDo9VmZ6du
AyYc6DETJICCAVqb07AqTVjx+z61MXCy3VJcA2PBfDUPra13Ene6qN0XlHI3np12FRQJIZdbUJWq
mOp0t2KGHs/T8IDpyPtQASjKg7k6sOFZyCGm9Rgy64et9JAMPF65/Gpe/bgJGgzS2uHWWf3TMmPn
6mYWSmCCGK/xMyI8vrrlmE08UZyAs/29mdZrAOsQGa4YdvrfTapA8RsB4mEUgfoNUUzF98JrP/Ms
uPGZufbZAAO97AFc6oSMOVicg3zBLCQux++GulG/YOtsoP+gwzXtZyxC9YIl8tQv9MDrt0lUr+XU
vmUOBLBVeTWS8YaXLPIVxfaS5ifY0z2v7nQ7aHXgdr4eMVVfOlj30eatydBCL07wIXl/DY/5nZqX
E8+KJjalH5XS3TU+dC7u+D6u40tewnqVgjXvlt/Wof1o/OWYOye0sYCnQAigYCCyvDtppiE8dXVU
CuCa915z8LEp5DYOsC2PK+zHmigwY2LmZmv901qKvfXqGzA7viYxJeCfFjHoA7ibzZbNcT3VfQjy
z0llPA1r2V9lQXU7tCyyK7sbmwn0xiksGvMKckkNnPexDKrY750NZnXXXal3Lgy9Q38qnjD1oKGz
eiBP4GOVZ47E05FvwVndqUZ/wij3mBfVbu5xAQfvKmjAj2dzvYfhVZLp+hjMZcw4e8Iw+0NivJ6Y
IIB4asqfaO/oCPzbNZpL5D25LLi1q3QjlmsRuoSgsFGq2CqAqgjSPFRlHVXGw/AhoOcuR2RsuXzz
UthbT7BWXHQDjsbwNFTdTtnyqeSguWN8wyD8zi6swvUBvN9wxMZbYSLt0+auB5MgSjUyYmkCv3SQ
HU6TpTKyoJpLiVs9VRgUfwfPMRqLW9PLg23kOTXFTakPTrHEDCPT+W5ec0A7m5y1N32qdAyS4xxX
eY7zo0gcMt6BwAEMGnhSaZG89phx7xkT1rtiJNgPxLbIHqqi2hp0hGMRnNdKQFs0XoGvezu558bH
DYRR31q8OSSHsAmzQjXScCk/rDU7xN9cFR2otU4/H2bIOQFtsu+yfcqxNhdMHa0Lc+RB7VKJRqLD
sMZcFe6ShbV4AH8M+IR5L8DOI8CcY5picC1QP4wOf64wG8Qc56mHSGztnf3oHSUo5QU4YThoYVye
skPfsHu3eZhokqklsBGURJjEppxJbNbNY0a4E0FpVxyQ+XM1cpzIA9HrgadwC+4Ea745NJdJC6LA
Pk1BY8M2Lc0LtZV66s06ASSnY4RklOV7a4w4y5KI01D50+eEWSEcCyXZgriA3mFlmO2ko4g8gSwM
RSn5xto6vxV+w46kzygUQxVrdtLrqifFwQiDwkXerZBJYM82+Rvwb7urC5CYw9KhbmLACjmUUmD4
lZMK7kr+BU9GLpbLl2zHhwC2khgofOP1un6AHkt2DUUAe0pK916xwd9Aq2fgSbgMB9KWzZHArOoe
/R7qYxRmM3wEW33bN5X/IPCOI0f2OFvK3O6Jq7ujmoJsPzqLt+FDhjNudWbY0rlin2FSBO7rVENU
obr+1KoyS3DWdNEMS6C9g1H7yWt5eqiHUR9AiZsIiji0XvMgcd0V604mgAyg9ZaTEgA/w2wh5b0S
hj/Bn2X51qm2P5aGpZuMrdlNMK/qFWNreV36bf+IRgfrR+is+RAlG18cwBgQAU55eQPeKX2gsszv
wJ1YbrWFgsq1A72bgnK+GZTMj0vwNBU0xKBq2EqAonepcoNHJwiWKWyLxXvFmMVu5r7DVrbO9S3E
X+O1LTAvW3BgviEsFvx5DI9BKp/nj3JY2/NYW3OmrtE3IKeX+6ZYMO/GuDiUGVxOcyXGjbu02TZD
XY/hFLQ+1bQysHQ8NwJTuYGhbNZhKHAZaVZLARphlnphVVsoJfycPvtjlkcztqe3koKoiXQYfxeU
3D0664rsqRX5d5DnnNX8Nl9ofkVOo8nUy40HUkEWds0y3WPuFC1uEesFIkbltvHYr99oXTroePVI
4y6dHlKHPYp2vWF99cqKehfQZp8rLwrWEZQrA5EGm499gQFwZ1lCOY0cIrI4cGRCF5y/hL8gqHM/
LSWGmW7wySAN8L3yPRiqZFFlNGXVxmB2CRzS4mAIKHRDnZDsWmQBuQxenmdPPXhtsC+IuK6DMQ5c
SPNKH+943E7VtUeGJ9c1MoFK92Vd8zyEdAQVZcMepmB6TB33pltYHYL8FBZ5dbXMzh6EoxtRZNO+
c/sghhav3jUQlcbV6t0sYgQxP6gjVbaJ7PMT1B8afFMU5booQCgJNtNgNq12vLhL9Pg8AqM1Sh9l
LsJCig2mv9+7Vv+Jytn/4d33T7BDBIwyDOYpek2EULnkZ/drxIWhYqLM7lj9jDa/OK5I7IBSBsCc
49bLgbC2v55Vtt5if8rvbMHoA2LMy5sh7ZkNNWunF1FNzQecwS5HzWXVQAImr+llJeWXNVVdVld/
WWfujxV3WXtqzTDM9lsAKApLc7ysUXFZrctl3daXFZz+WMzwedQHsNWdQwZO02m5rHpxWf+DVFkC
+U5/aqSWWztav4JqMRX7Mq3gE+4O6dnzqbfpLnuLe9ll1st+k6XYeYhJ56gPrP/A6YJ9ydWoz7M8
N/egn+p7pEA3R+hlh0O3DuYmu8hfQQx3772UYs+77H7ssg/Sy47oZMr9gjwm24G8VuzzTmH8idDu
6sdmOl72VafIvKT5sdmOtbS7pRL5W9uhzujIIu+CspJJ7nvVExBRNAwIMLmwsEDw6xeb3wZSud9S
6cwJaD+XeQ0O+R+HgBorFxJNnAz6ckakl9NCXc6NspBw47qcJRj3TihZcb6AKGRenB+HDr5Ntc8Y
TqL+ciaJy+mEkMj1kPI6388wZVaXMyy/nGYujrUiLSDXEuCSfwIkPAou5RD2mLI/2aEhL2K5zHNh
KO09L5QD1GpGb3m1cs6wasBXBVcaAFSFezMZ2cVWr0EB5xXSg0anveYaYso8z4sEhJ78GuI8/Lzu
Nx2ath1zcgnPH4yp34OGjmqnBFnR3CjjbjQ4I0OM5LbLK/oD+nzeCM1xTju8xc3UwjNMK1WfVVuy
d9F73rEpsUlswYpGvwqeJiqFBrwosG9YUH34pLud/FrC5pKAMwVZ/EXzjG4hAl2hAuDVMAHVIeKd
Ce3mZOr7O6hHyM46wSvYlaBDkAmdBCS1cPfUT0sNemW2zIl00gc4OD7UJm8SBFkM8eqAq2VB+kgE
GvYvNDHPjiD05I9SQg8XPEJ+hQrI8fyENBdVuoFmBSzz+k5Y5lyJYq4SHPQgcZGqeIBBM6Q/RkNd
x9hD4ZYPoi+ggu1ltWs5yuyxIYcMBGdw6fM534C1iaLH1FUM6shb4RJgJW7xfYHLdlT3a/7/2Duz
3ciRLNv+yv0BCxiN86s7fZZrcM16IaRQBOeZNA5f38uzsrOzCujbKOC+XKBfsjKzQpEhF2l2ztl7
r0NVnEGhMuablvpjNRb88pEHY526+g33Y3VkH7C5LR2cWFlbqV0z5y2sVL9AN7F2XlwNxLax8MSy
QYSgeyBJ337mg3ygLsT34UwNTiaAk9X0UqmifBxFTTtGvmbHUmpcG9GQVTexW8dBnkGH7+e53ozC
MHYm3Jet5y7LyrN0t9WKd63ymGuGZA3JmM4uvo/uYyy1e5iNLHlDFf+wjZwKwq7Zuu56/a7wTdZ1
L/nAY0XOtMGosG6NLln1NXnsOVyatayZL/apTfiKFDSlRS1p5++hiXlBZFIxAaFMVzEWxZcq7PkJ
z3St4bUf6Hz9xNfZh8i0c65dZVrPneeUp6q3w4OqfbmvuXbPVeh+G3VXPGVKLDwFHCiiKL/pYn6n
pvMUF46xnowEj7iIrNu6qlOS7Hx2uR9/dz41RY6KSuK6K8hAlQbwg+RrntXbmL9LOz33pAydXiXr
uXTvF6NSwZyVv1mUc5mNyqEUJvIh8h7sATketaHpiG67VumATdJYyiSNh2Z1/JpwU/uoDSWffd52
ulfj51RheLab9Nlt873RcnAJEwuhndftyomM+CYiKzW7Y8wsmfdrarkkKkE5wED6Voc2C8kGjH37
pNfVIVYi3kc4Dd5S79pk4uLaLlOm+brObZZ12uvlI0yyImBlBobSIRdry2boxfKQ+jONZ/MQCUee
4tFPD7jRu7uwcvt74BPlvR2K6QtXA9WTatw9RJn+Q19rq+ZaZZnXemv8o/K61mBK9O5BkKUIsDRR
nXHiWs+kYacLXIR2N/CJ/yHM/L8WqM7Jz7bqqt/9vypU/yRq/X8kY6GnXAFu/72G9dwzV/k/9+3n
968u/ruS9edX/kPG8qwfnuS5IzTqOD4PH6zTfyhZrvsDDQlokm8p01Oeof5Sskz5wzJsR3lYAhjM
2Vc0438qWeYPcpf0fKyJYEyMKfbfUbL+Wex1LcNXtmG50nEkqprxr+tE+7InAjHYescqAgx9Qzvf
0bc4UP38pP0S/pKdRumzeuFvH9Sfgto/CWjOHyzS/6rmrv9ly3IMA+AE37jj2Xzzf3euDB0hbYxv
eofTN9wmrWnXn4UisLDCYM8UYqiNLCZSNw5vObbhZYMWU2drzwW1uQ7xrDs7mWMbZthu5u9hEyYc
iUY5IVPMUc+2VpPTETNmvM6KsBv2ozLKdt0MBj0y+1lMWB+cx1/m2KzMHoTMTpmm+858bPqcK+W/
FDIt4o1UWj/M3TVbQG2YnHDgEoRgRMQxx2kzvJWWmxDLtTV0k+JkJQxFaN1nRjlrNMKvtBHYjk0d
LOh0QRdWPzVMMNYKjemDz+LdV39x2CgfivSmLWrjyq+0sFmLyAmfhSaCt1mQ+A6zdx2sh/MvF7DJ
ThbmNtSpOvSKAc44xvdePLhbPSFclFBu1sIoXxICu4z/YX8Yo3rUnnApzpkvF+BN7DTHr0a/RjrV
tO7Kegw8DPdrZWKSjyAUrMeWC5F9Ffla9LLEIN6mTF7VZy3ychX51knaXdDFBMAi7qgyzLcjM9hV
gzyxYrC8cwj/M+LDU9PFFbnPsBvvRsy8N3Ko+8MStu0qzLth21cDCg+WYGbUWFCHiClJPybuJvNM
M+gmjN89EupB4fLckse1D5Z0YTTgzt8Y7TAcQ9klO3OM1XpJp2U92KXaZwgO27COimNcZM7Ot6GY
t8sMLWdsxUYrC2BRZ0T5oSyF9V0bOtrj9hOBKxxxS8ilPBhVk1zmJe+ygMStFUQ4ggFPTCExyzSV
JsFLj7RzYHkurA2sxjGhddPqPmfXyYi6M/dnHBMv7ns0WN7ZnRPjq9Sq+O7dOXXXHl5IcwUbeLhE
VXYjJ1HlAZiX5DZVPmPtuTkR5hXHwqzrYwy09rXwHIvPOm1roDILoL1Na9N+c4vHwmFCVDkEziOn
umeRcU7hwoJalJQqKwNVKPsWh9EiuabN/CbvCmM3EbcpdpmIvcfCFi0Jj8KSQeOUzBJtYfSS9Jvj
nSXuOxqnZtYPXDszDvB4jo5RVC94DCX2W8KdUCJClS23jWtim2/wc1zm0ZOkrRJMkU4TFTeguxTu
d5YXUWh57GAHmv5UtW0frjyCHTMfJlG/lcmYiisdxMidWVT6xY8am4y47xIChaRMrllY7bjx7DFq
jvPYG7+qBp8YvlbjJTPjhvBOYVi/S2cMAcuRVGwJiza4TjD12eJyTVJuHb9ZTphF0wwPtmrNddlI
iFJmnsZPg0pKgoCNOFFFGVvwI7W5tqPEvQyLTeltEn3a5ou4C0lvOVH21RXxjaHTXY28uh3mq+UU
bW2vY9+8cyyCfo013Fw3R+C7d7Ibv0dmWYyrsCjZ51IQtNundXNbOkt3T9zgO84MZ9VCaFqHfR7t
ZerW59J1iXewkWzrojpto8JN7mPSODtAJt6JrLPasHq3+locpK7r9pNbOacMnIs5HG/CLmOCjyva
WmEOTq4dOlHbNPVUuF7KmQannW3jy03H5JirIT/5rns3uQUjCEInvYmYW3bOL3gHYLjI9QE78EpR
8F6Kt76IsJXg2y8dw34mJ+Buu1IPD2SvJPPtJPQC7Jz6SB77V202nB9dZVnbuK3DwFezixvcWtsw
UrHgTkTHxyJKDoQRinsh8buyUJt9OhKG2sXNLWZxWtDfIshk/QFwiP7Zi2K47cYrICmu8G9N2F8g
8Oh4PfcVc+7UnKAD2CF+X6GjL08TohKljZzvTXxjtisBSVL7pZNSzx7e/JPNz3FVTCO/w8QDHI0Z
VaDFYD0K90MO/KUq7GOfx+65Vk58xEL2m9spuS0rn2W2bROlK4cnpTukZgbTI2yyaNMui5xXCfiJ
MhBz034nYiYqSIRV3rhO2YUrFaYgteNWpBOSg47OU6wvyRxlr33CiAg6rfdLIjbuiIixqcznhdnZ
DcLCvq6d1Nporb1bEOPFi8vPaa0no91DEii/B+1Y993UhF8EdQ3rsSP4OKz7pSQZWvWmnK457DYN
aqoDJG4jajdZ3S5n/LloJYP8Iv5VbUlbLrtcGfpEThjScvkmpgGrNURFxSidbt4NRkwAxi4pBowh
Vo0BZ0V2qn8aM2Uh1hPCp3NGqtnMTktfoMfmfvbKh9DEBxwPMLO7uhD31MTh7cT+MX7TEAuKtZVd
mwQG7qxAsQkB6uqhMNx0M3pWS8vIzWS3hPqyJOJbiM/4U7+BPvwkQmkdxs6lVJAK4yBLldZiatRe
iJDoeQQySan8pvbyabMMrb3zNNyyMFJsuogjfsjwOU6pHb1Eph9tSMTxAIQjx3NkYmuncNfrQizx
pYDTuqnSZCvGcJPQBW17lnrexBOmqVz0Bp4LXORTpHqG37o/E2w3V9c4BjaVKVvPXaNIO4ftrnYJ
NvATGjfUguYaHVYGelqew1zzQRYV5GmHDzZvypC5MDurw65+Hu1YPPlV2e57n9kJpQbDcaftdxWw
JTQ1n4ifXUMey1qIVINCMiwtZ++kNP/oXvedmHl9ycHdTfzc4ZV0eDFaPVk7gfC6ySY32rVeNq9M
9gTxwieWfaJc6N4TRoNMb33b3g5d0t07SU0MnimvByYgHN99V+YXl6zpSfp59puginMQXDkHuu7x
Na3B7yAwE2AfbVm1a+JUZRC5MvwN1mbYO/bs0UpB/Au4ZsOd0B6cpSox4nvyttycWaTl0YmsaTep
1PzE/gDRQKrprvD7bFyJuiRPHQ7KOdIOk+7XCNJHcsPJY+Qb9kl62niamzT8lXch46a69IodocUk
42AywkPaS/sIxOS6qWFCHoxMkeBEn+i5ZTTraFdJL9sVUhkvpuUBwyG5BxltnmCSKDgzQ1ZKDWnH
dyt+CGVxn7HZ7Um5TrpnTjKf0ildrihC/YabqgD2NZfAmigfgLSU3VZ1g4/iLyW9qh2by1PGbuZf
Q0rEJ6i9LLs6bfTFj5EXsF84cUBpO6xHSvstk8TuxZsreRvGZXmMQ0PuZqWbnMvPhaXDcxC9JRbT
3qKQ+QlGwPSkx8LaaxIJD8I3e6pJJ7w3u8o754ZnnPrSc1ERxmyNHbd6My2cShWJOaePsEKlzo3y
IiYCDVQch+fMKqjcY4k9A07aylFLcmPBrcMX1La7SkA7X41hMq2BhKK/D90k81WOrggCzw6LW/K4
8c7PS2xTeEfWimW2F6cXrFer+ROUML+eTUdrBLa2N5/CcIRqsgiVGvdcEdxvQ+RioYCq5gQFHph1
nhOQ95cSqptZgm5xrOZ2yKx07eb+Z5rUBmxDUPfYQOYdWouzbZo6/qZoyTfCqeF/RUvOJHHAjr0r
yJAc6kZ377y0y0X4HdUmc/pd1vIf8YRUoBq9DPgUZECnMCNEh1bdjnigps+KDXPNwzyxufqR3WQR
tLR6SUM6ERq8dQivclz1Ja6GtaU0Gh+JE+GtHEKXO6hJ6aWwxuiJDU7J70VkaufPTlRtltGKdgOC
3UM9K+N9qHzraZhQnXFLKP9tWCJ/2aRJUj5GhYi/p9FJj5Anzc/GwnS/cll4xI+jdqYLaR3rVwvT
9hiNlemtimRqLnNrcFYsrIGjYOsMTjUbT/auIXFYrtrOHF4dftyfWehaz7ZDEvDJKyy0f7wBlrlZ
AA2VGzZ38v4UKVwCc04ZmdvRTLikiAhlJ4MxJ2gPPITBgJMspW4nnsEGY8dY5RlvrzVD4Qoq7sNT
ZaRAC3Dl17dR68ZxMAoTc4uoXcJOEJ/mVaXrazxnMN9hv8W7kmjtC3Ox4VPREjE7r5tLa1sPidBB
NOVdAGPXO/WMcIKI55BJlSM/UzceP6KS4YwDUeUlXbR4M+rK9jYO4BaUn3k66h7bjPa96k4tpvMQ
ERCMSB9PIbpTvmnmOjtQUcc3k7LIapEo2A98hJ/ajfRNXwnn3orrdlsId2f0lXuXYFDGw6aMADhk
eiktYZ3Z4AHt08Z6g1OiRvSavAb+gZvP4alql5YTx8VLGnsfqF/fRLunh6GWIfa7awyWKV4H9sTR
/u/BgxYUw1nf4niLiDmr+KX1/OF1THlzclH2r2keRUE4Oea5ZIp5THKreMgq63dkXT0/de9fGsrZ
+7wA+TTBxfyFBXXhBh3VHhCf87Rovz8uEelEAr/jS2aY6aoTWXzbhXZ6T3IaR1oLUIQce93fTAAU
glaQznGiIn7QDAACs04IrrfpWN8P9KRfzaysh7goe2huCIWdV7V3Gsn5ULnN6yCnpAomIAmUBwX7
NqbK99btiBKbDf3yGTvQ8VjiLtdZblIDsdLuDXOJOmvNFCOHs/mWuE3IkI4z346o07hW9WVGHv9I
qMVuyz5aNgv+9vNAvvCxp8qDaQgQYruQPDqallWfQ6Jnz7rjvHfravhIkrbchEuffM7wksgL+7TU
BjPds+fSrK30zNuVcKuAhUg8tvRwp3ijrdcpS8uROrMtoev0XJo6fMlZ3HK06zB9ERXPVQfylE5Q
l4FXz1lQxKZx7/pSoXzoMRB6yJ+muVZn8JjlbwuIYQPVtlRPMMb6W1lw5+FzC81vcCl0WENbtCcZ
dT7ptjCN9oIHzcCaooWBETFDxGuyHqOmsOrXfqpxCnj+ZDxm9lw/ua3C3CViZisuBtUSo1tTYs7N
w8+xl2iWfsT5cuqq1sHZY0YvmGky5yaFxAiizymsdptmXvgZ9SP9lY0D+Es7pXMdqC9YrdzqcxoN
7HahdF8rhyGNXfTVDVuY6ZRGzg7+QGkRQEvNt4l2rQs5MGNjOK2955Ps7piI6zO8X5JuxaBPhmYV
YKe8cMOgPd/Pw3VQG3fVTedxYJDarN9aVybbKCvExc4ze53CJVkZ7rrniK/WZVVhPgUlNd3CCIlt
9F3MqyBb55mgWmS8lHQb8arOpuQ33Btyi62cN3M646MKlxEhqSrn+TWjhwzgbsIWdBMBV68f0QcA
ENBQqxiP6ZYqoL3BShu/Kz8xnty05AFKjIU/g+iqy1yRKmQQFJUvVtH87jIC2ZvGnUtAe+H8u6IG
PcS24BgK2QIaF00V2FoIHEbJVxYx2AIkx/x6/swnew56rub12PfYdeJUXouxFw6Z6ji3SIghtJVo
SMQJb6rHTxOkyuDndiAgrmUDdqh48C590ll3oRkSAY4sBQcDmywAyjA72PBMT6NVOgfCSzwOgqHf
kUX3pO/z2LxeU0jHVd8EvpuvuKo63jSxnKZh9s5JNMcBQ492Z/ih/Ip5fL5qg7ztKsMOy9fnzQkL
on3WdFBbJzf7CxjZ+3mJjR1383jJQlGWaDRmux6ETYJakNkjOtne2UreXWdC7wBOrXpF4N4wg0yU
6R2VXYFqyXl1jl3PYdrV4Rhf+bEVrYeUxnPlTgvuB730gTnF+Ytkxx4uubF1HigNcsSkOAvvQPnI
VT+63b4nlwwg1EwCs8O+7IWYz+M89Fc9VhYcguzTKrn0qvZktcwS8USr8LWJiAuTdOveyalIAMRD
1uE3I27cWdp+MJOhgf7DSqyqacL72JDmWdZY9wCXVe4J/c3dm1WWHlUyd6e6l/UpsRLvAou+3paj
wyRPwZt6mzvd3zFc6/qNbXZXcdQtsk2jBcmXxarTTWTNP/2lWYJeRWDlIiW/BZL3QYdL+OhwMq0c
F9Gf64hNXc7iZdsoHSKwJHK58zumb9iDWQ9mpIV3nrK+fljEBCwN3gD/lzDLPWT15XPSuXus7Tp9
dpBkfA7vjpQdZkF05Ypbn5e6u6MnULCLSLEHUmpqLtfamx2XWc/G38iFVM2yGejHSjx7PVpqOo8V
WIHiSgKp4wkSWD49uKHK1+hf4tDnTn0U8IYJ/pbNhwSCECCB4/coUmg2V2v2Yu/IcTR3Gp0Wz6nH
VHGZuEj5R/vQW15xk0/uuIU3WrtBGafQoKE49hvLjHnHK824wfHmcDdkTWtw8Sh9awDZeAFGZoAb
K4FND3iHVkyulgjCEmAkl3A8ffKY1E8ZBA+5TexumoPF1Wm5FYT9q5OOY8VItmbxBYCKjAcSVpB4
LVOrO3oyTpk9U0Rn6xhSw4XEapucKrYePsbucqWD+IJh72I79hikTTL8Tl0IMMswOh8Ai52LBzXW
2LplLppNSqY939omWD0yyDFieZ47GKsG3zMvnWdRIo9+ovQqg2D6Olhm+qWFnBeYjaO0CBK0WM0W
Rv1PLC2Ge2WG404A4rvDjZNEq8huugciWAS4FSSA+3pkEGdqC7tm1r/boCOD0CM0bhi+/yEqM0ZL
n2KICq557AidvWDfQLAvvQlehROrDWzhnEFKf+BTWDadrKdbhzg4aNXKrx77XpPjDWfWYbiOfURI
d+8JTjBiSEkn3kTDQiivb0zvm6mBYwMUVj4m3hbpQEwA4AM4XO2eGTKCXhtV01viOVwQjFDnc892
ps0QPyS1OwxBVDr+U9aH5U1ETMHKnDYLoHlO51BxE+xBz5J3SZa4//LitCODP09Dt5qqQuOnKoX9
4NUm4Jd6nLEJJ+4smnVvMqkNdOWVuD1BC265RgC+WH7/YIKMeWVwPj6A2Stn2Of5Limtbtd3Ncnn
jNCNWffWJkEglNsqUTPwHTu9IwcGvKoaPeejh1H0nkxOfuqFoe9bvGoNI0gjtk4NhDvJjyDnr7Fn
2LczwF1UZVfot3khZLFyKK4hiU/pTsYJlhsYHi2Ozgz+ZcYH8QAmexHrqFbRd8hCrmGdWIbxGIUM
ejGyyuIxhfG3mURIAw3IwOY6hYfq+DGN1MQ+8tu2MrpLE1XyonDa3AG1KYkrhUnzvkxecuss5ONX
GgvIWXZCMsYpuxRITN8Yz3hDFLAS34nWRZNgw+wG5p8rLy3cI2spwp9osstn7fPybMaYgg1aXTOG
gV7iMnBmfB1Y6HX+ytOmYSblCTcBU8/prmML1c9R9NcDjpfINvhFrmuqA/6E5Syx8h3jGBA1WVXY
bIyzsVj68ruzhjaGcs7NB6BAPDsiqR9g9LvHKUqbG2vs9WEx4+E3nNZk5/DYNquRjbkuyYhp+uVA
hgzYBBDQQ+TQYh02dQL9cI8253ag3Sp/tCZtH4WCXbBgRv8uEcLr9ULEfAdDq9ynAJmo0aKi+TRq
2bHGGxX7QovE9Ptqy8q06T14VGc/l9p1H9k5xF8wx2y7SDdvUW/MtHjhjNyRuJ049pkcNwOf4WOJ
lf0nN1CBt8Qd/SexGGa4LoF1JJuqi++Hwu0uVZXZqAecLeXKAr9y8mG145R1c5JkfBGLXxIgw457
70wl0wQ5F8PHwljteiFrdSb01G1Dl65kFZVjfsliUAJr8N+qfgzDanmYMiS2mOLmRsrEeUDcKg+5
NOJLp+x6rbIJm59uaDWsqt20rcFijHgM7wo9O0e+LLrj7RZfkwFvlH98i0NNaCCppk9aZu92wLFx
P0/Fd2PYQZFd2cdxhXU19eez08/FYzKa466t3Gqdxv7jnHRqkzm5zc3I6PLQd3gaViYY6U2qpHMF
wVBXOC4vz1z3gZXzXq9a0Y347t2rQjMw4RBJER56yvYPN66I60mJO80yp/ZiUdDTCeS20Ctv4JbT
E7TThLRRwebZqHuPsqm9QV39CRYO82ndd/ZdDILrPDqV9TAxzvgoXc+yIfyFEUDAAfkmHniaRhnt
OVXDawLSY90BM4WsHRS+vRDGWScbMh0sRxDJmrF7awSZPc7FGmBpdMKAXL6aEVcWCFJKlpgJZ2ao
kbgGakuFjbt+QU/tDwWf7yZu+mo/xbBrpIsdw5slOzKlaVvcptGEaNX3xYdjhh1xlWXY5M7s/dZd
2Z1GkeXMgg3vXcLUaIFL5licM4xLxwFrm7l2U3QrcxnoYBSLBE4dRJSdKhoz8FBzGPfW9mdtW6W1
jvNeHELA7yuLGQlLOZhjnElfccj5blNPq76LH0kbGVvTN8Ynlmda39U4T18JZetTMw0wKpzsim1m
9cZwA1jXwxpmTtNHk6FfrjgVohdGpJQmS0GPt9Iph7EePBcdBq82F03Wx+dRSPmFK9crNmMd9kxS
Zi6uufSdA14QaH29KXB2+u0EssXUh9nuI26uMqoO0IFqC1yAKqG0hvn82niZQreJ/a1SNXd+Ce9x
A9ysCtdVCLwm6N1kOQ9JyOndjyo7uj7JRxxHhFBt0kc/8QjiFHEkit8qmypuK4XpT6wMf7Zv6yKJ
oYT0ZtbzmHOLrYrSSXHnAXltbnxsd+E6y6yImHRV+TCQLeM51y06iiqz06TdiVUeoSCNlU+FG9jQ
lPkXsICh7g6JekazhUo7Ioiy0qu07W9WfZS3NQrqA5cXtQvA3WEV2lzth14W16UkapnemDerTZul
4omsqAwKr1+2Q0SUcG2hD25GUHbBlOTy7PlafWfEpbjEcn8LjxDGm2UMOtzauAjWPsPh01JI4ziV
zXQ7SxRv07gOyYv4aqxv1YaUjsGbpdmBko4PEEPuzbgb6a67t4EiHLhwmR88UYoNmyi6AFKO/mXU
GJoGyolbdT2d8WJ6gevK8kbgFCRNx98tqY0Fzhg6+SZFk9xC8c/OWTvibOol1rlm0l1CAoJo61Av
2Kx1eVNljYeMboiNpcLikBuu/JnXRHSi2mtvCpZT3mEFYxtdnYwJuZxx+dlFJm4lw3cP7VKNe+p1
xsQVzKx/YEf+1xv0P0fcseVYxL7/e3tQ8CuPk7/bgsjF//lF/3AG4f8xTd/G5+MR173+71/OIOcH
OwaY/7r4c/6wBv3lDFLeD0h7JlsgDP8P9w+Eif90Bnk/LKn4KhzSBu0glpp/I+PuX1EVfzfoSA9H
EJW74ZjIGL73Lxl3kql1wR+v2SUtsFb2MjT906Cj8S3Wvb5jF87TIFpxKc2eAj7O45oQAcZ6mxVM
vEhjmr8XWas/AQclhzDzhw1oMBt1gMGeYfX9NmEnCoWRnC789pRt1ykgUa38Fy3JF7ouK30WX2ya
FLgjt1l1X/tj+NQoEOArXNCvZmUVnxUFOqkefHBdmGX3c2VfMmLWp/w6jJxMZ3zBiCk3Ml1CTNPk
aHx2CjxyaL1BkLTWBkMZ0gXNtHGEGHeyxC6DHkyH2GESHObmEa9NfN1FReDqOhGtJ5EFw9A3j1Zh
iU0XgZuKRoauXtvbexY1NDuQvuMr/BgmPyrMfwOILW+0GcVfGJgbnABd/zWUXveUDqrYscGGBQCW
w6pqS5NpDdJi4kKDX2t8ZLgG1xirBghinn8zGtMI9XUBWLfuqBU/TLrYmm7PtvDcWFq+V4brY/2o
cap7LN1F3df22e51SpDGzbwXjIvdKW4M0nemt2DXWeD9/bmj7X+PhP/hSOB2V/935MVn/Nl+dnHf
fv79VPjz6/40C8ofjHB9KVm5AccCa9xfR4L64di81dJgb9cfb/5/HQnqh1QYAT0Pfdh3cdX9dSQY
9g/cF7bP3h+lOBU86985Egz5hyvv74cClkiLgINpmpxZGAf5jv/u2lPM7Cao9Wj5jMfBTqCVBFxZ
2JGXGOUg630sBoXrmwyJNXKFR0/BHpxIGidfuCLZeC4pyoz2r3orOC98Ypry+ivKTv00G8eQQbKY
ByowWazw0k/oQW7UYiMQaV4/2Oy1eRWWnUSPErdQ9YC+gqCTpLhsCA2Vo4Ye7ITQA/OxpXaKax8U
5eJgwQF8HCYsY1AQin1k9RHDf5i568ouo3tG/8ZvI60sRkiO8tfYyv1DkzXiojImciiHiyZED5kZ
TH5iNBlmtnq8kQ3iyMrOZcc30I5HcN6seWrtSoe3YQHukskFRcmFYu0NEuRMBEJIKpvGVVfQWQiT
cWIHA0sjptZKbzgBSJlyNpBqpJGh+Kt0h2SJsyR+sjyibFtMU7EMYPK4y3ok+UCPT2ZmEyWTenaa
zrwR0pyj7UKQK98LDw/LEfLygOs+gvG/crjTyD+AT2YYkXoWeAMjm9e1BHgBSDYO+hTpAUYlvuWc
mbnRejFLAKL6vTPET5uIBhIPHdgAie+6396nJSTySNrAt/Lkld8N8pGO2vsQ/l11wGoNjW5BCGDz
L2PjSzaTsjmXUTiGaycf2PmDjcnsDuXM0HA7Vg7tEVWsvZyt3m0J0rhG7azluBCwANCXvsLgGIcd
SZVQn8N2mv21nVAVBh6cq/tymqBBwMztyhtP9sy/2ZRAnY0+aOztnpU4625OWCQgYYjUp2wqMGR5
jjnoDf6ucq8mr+8Dw6xUtYkWxd/3aJfzqjOxM23nLNOgEeeqmzd0PsrY4Pt3FIHLenrq4ljk+3Qy
ra8a7OEzdSSA0ahtv6suNKYjTx1uBFmEM3poC/ohsI0K9kYrh0OE+YIrbXGXdi2Fpwus7kzVrj7D
r9o3hunKGqBpiKeo00HjK35iM+OpI9BeDnEiptkNkJ74oU3cexfp5bnrBrx3fUg0NBqMmJ0foyux
PBb1q1emxkUMcfexICWffPATulJ9Q/BBeOox5MpAwciTXj1BNMVqSeiiataDrOfHpDSX7yIulrO2
ZTuu2WoVG3ct0jsCYZXBF1Ql18p+kVFxRupq+z2mXeZMMtXFOzP/5g4Ph2wCQMB4XkLp45UUtmk9
EQq/bktQhcMNKTz2c2dZad9YfRmTwotYEcGsV0TGaQBSCPslKqxzWxsD8LS4mvHvpUXywc4iNW3g
RfK0G1gT1gbiuBdUTQyp15Phi1hYs8acNVsXEyIPXFHAr6Cut0yqpldf89o1XeohzyKmvs95xHtT
++yhiiobq4pVVKdS5vqpixxGuvmccxbk0IUTyzLvW/YuIM/6ZrofdHXN8xks9EglTc4er6T1bBRZ
dwJZHn3YmSLQtPR9Hj4gI7GI3DVjHaLtN+N2UJQKwNKbeZVi1+OSlsbA45E3Twll5GFaXO57Ky9R
acDfAMQJXSf/ru24PZrt4ptrFjUsL4MRlT/Rs7TPciBzinZYdryadtSNsECMemNRyt2yuJHOGHs6
PWtU5eNjPSbhHzsIJytgdZzuCK8VDcBrFdZHjTVz2E0zrRL5GVmnJKUsJwPIwbO6tmXTvWrUmTuc
rqSzkb0+2Dznls9eytAuGCdelJVPMDgAYWzbgcs16P0s/oO9M9luHNmy7BchFwyGxjBl30ikSPU+
wZJccvSNoQe+PjdfVVZFeETGy5rXKNxXuESCBMyu3XvOPsYkIdPOcgsAl9szegUhaX628AXWyiqT
tR2n9cbvIr3Cew4uw89zuSpFzEvaYax3rg2GHLiX9Fn2b0FlGi5m8VTSgabAs1GO97YOrvlkmE/h
lPKJutbg9euC9jPEBztJLmaHkgFTlNWjN4WLaxxtsqk+3B6y9y6MzS69t2UwL1XIkgOtWebryorp
QyIg6x5wfYRPQrHMrfpwFC3rRewDwnE0dyLRWhBFCVwYnv2JKQvrlYgDpruUxeu5st1LNmIcXmZT
ketl3BE4SVeSuQL61AjkvLYMNoDZQ1sbVTFRmpFBBbG/ybDg3Oexuy5YzXxYwvF4TNvY3HEzz1jC
CwFEhIN9vOypD5qdZcQ1oyjt+DuAyPGXyxT3tejq8mL0bUxelo7nnykomHpReg6jyDHpVIlgIwZv
gD4BYnhhp+mucTIq+BgOPcGY7mzZCwUH9CEoGDjDbc2TB7TGeMmmWkqsbDMbnSoArtzmmfelWQ2E
E6QjfSM7ZWn1OyX9BQqJ/DS6ZXyVKupfhqn0D+kU+nJjGsZ8ZUCrhkVIa7C/T/15eupnU9WrIUnZ
jpBS6grPTKe+vcGeIDyE4kSIEqD1EptMtiC7c4CDgnWnXKmejouIxygA15OM087ukspHjoi0CMoP
MkJD1v47MjTnkljGUcskZurd5nAZ/BhzM9LrVVAIJOcscqsg7I1dQseB7hyu5yqDTVuxZqJWT+UP
p84xJoXWrJBydvJXUzFLi+yx/MD2Daq/1H26N0cIVqwxtD/jMHmc7ARL2kALe/Uv7kk/WvGVXqp3
ENozrW0vC5eoLqRfWYa+gLNWGC81kZmLm+YnW9hkiCGxcmAAeAHoaY3UHuma5V7tzMjTH5Fowzu3
T/FlltG8G3MT4nPl3wzZtF/E8ha/tE1CRgYLbBuI76NwOBrREBJz5g748rx48oCsxN6p10aNm8EO
v+zBjd6Rtz0Z4gbnspIQZI3X1+UmHmlbERxqzpQeHjCAmrWIXp6crX5vF637qY2oMreiyCxSlJJk
L+zJ2Vp1oC42kEN6VYzGM9zheOMY4p9wffW/XLg4A7VBauVnt43qbBUlA7Axx5pTyJ2QgNemGEqx
K+10/Ayt0P9iPB33WOCG4tZzF+WXdqRZX4bA8rw1KjLPP6BoCgEw+IKPMQz9blrYfVB9yTBD/4KF
J+r3gZnZmA8o54BpizL3DwXSjUdtqplAFwLqHkGUleBkRjefr0ATrn0DUfng1LpHnOMP02XyJOJC
OUf3AvToLsbTayKmRblZR2xZbdbm1dIjUbFcWhpN34JCnMTEuQYRpkJ1KBIjBhgxyLNp22gJcmJ1
1gwO8MQQlbH2zSxkL6cG+aptOT47hRetO2+wVh4pPlTRpXoxDJwkC5w2qt0rDuXFx4QNqNqy0PpP
U5zYX12vZbUI7bo4k/iiX7oR03oip0EcZDpld41VehkOzFC8WqYtXlxqtVODUQMFXx8S053XLhob
+oIAb61RLlCqIFmUaWX/ZIPMVmxZCpuKMuRrGzQfVq3x6TAiZu4fWmkFS1/rVxE7uB0E6EbSw4i6
H5aAPYoXHXbhE05iVd3cA9HCpF58HDQyB8WdrK03xHHopDVJED9bO6fpazBPFgGRNNTkH2LEmtNN
0WOSWmKPcZWVn16w9A/MBX13ZwKXme9SnJjTJs+gKp1iKCfk1g6GlzDHZa65s6rGpfUo49xjzfMY
ApuiUOEm1l21abCXjyjzVfvUoH5yljiSrcc4IWSHoQ5beQQK+1pPTXjl3p93cz8jV08xkXWrYu66
h5hQgCWou+poZo3E8EdVgOjgG76h1YD1r8l+QIDp7JukmaJXuM8RecEWVidEDjcXzixN0rOk7h7Q
BWHtIHSBHna81m40HszcL9fSxGxLEsyPtBtiRqvNTFxllHm1vwCt4Jz06LfXwQjmbUg35K3is8Us
MzJylm6RElJi+IaL+tSO47XpRjJd2mhP3qOWqNFDclPhLjqZe8+D7OEEMnoThCzWffnTzJQ3Yhjp
o1No3w5npXfLx258f3xEYoePqIz9hK/Qmd8Johh+WLwLl/FthCBO8XnDgJdVs7VlTffdClFRxSK1
z3EkzScKXFZYpHsU6wzhDoEsx+880NPGnbxsj8B3jne9X9r3HBpUAB6vsj6TspKrTHCcWVFkzIjm
6FDVyzmlvT+iNasWsBdsi28xWOeZjuke8421SKFkmqx5mEn4GZAfffL4uncNSUO4XITJ7t7bBR3y
KMqqVR9hkMIwA0gkcPKzZVIMrQMUEoLMhYiIdU7EJnLE2Eg4VXG8cTGPxvPWt1Prh4OyWS/ntuP8
SjAUiDRmIUjTAsKcpuc6aIS9M1rpJ5uYOMWvXtfOvo868Y6P49Y4dupdWrHMz5asGX5MLmsNXbA1
Mxp0ZYTfJMjMOaZje+jwJuSW2/ywDR2ckdQ6W1fU0UsdqwxDMYkw6SZIMveCF6NsDrpEtLVqfPiW
8AwKZMD5yPgDmVRCQWmF1DVEkoxnVQFgXYZt7H/FvlSPsgmfCQyqs4WTuD6CKUIc8mr2NnTAzK1K
TXWYGqJWIfQW+2qMqwev1+YKypYLOWhysmw9xV1zrUluX8galRMgvbj5mbSR2258y2/rndeSuMOR
vf2qAAucxxocJ9dmesgryzBkk2bq/WG3g7nK+B5+2ak9X/uIDZ5q1L2zu8i9gK8h/SUKhnsy846h
5zst+SRQXgmRgshluz+bjoIndUPMdVYxHIeIU5KlzW2TZFS8vStfIXJ8cbuNfMYMXDo3xjpNcnwT
IKvPYsXnnVAhQ1g62blRHXKn4Q31ZfVAqgIbaFuHP6gpchwaMQhIO/3A8e+sY+4jCv1CruLJQWxr
l84e7TkzUpRA25sTeMnCuSrLRm5FXHhf+JHFLjBrmxDndDcXisGi26Xoyseq2CR5LR9rIaajNysT
7q1dHJl9DB/dza5jB2meEyw4meOOXE70oyySw8+5c+kewkHVSxSfikmxpujSFte+7GGefDgp2pg1
BkfnDhleDY2Lmj51pbdNkmrYVQH8k0VfpQ9kv00nFzN6vXCGjJDasacqVEM7f08JFDAaRkS5Onau
nibHde8mC/ul2xQ2Z+JM4XJMTdQXdvKdGWO9rVv9r83kTRMGIRZz6XQwvFhEWwjvybIiuznY5qUf
7ph1b3WGor8glXUhZEXzI0X9/Uy5q2lQTA3wnn+dOcYqXGlYgL+UjPy9U5fzdZiS+V1koXstyqkb
oWAkzVJb9tQAfSHUM3ZYLuncbJ2S2A8rrLYRevczInTBBY0MMy2HQIWthfduI6EDLkOvde76jPNp
59n6DUPg0QORg0IFrMyVVLJ2p/N6vCBJpXFkRrlCfpG+6Uyab4GZ4yLpgPMxoBZru0AWWzm39lkz
rCpMNEsqGuch0s4NUhPHB8gRODWnbodP6qQo85a29uzj5FjwUy1/XqHY1+vCAgWb1X18Vzch3kk2
Yzx0JuUdKt47FqpkzSOjXgsDtfIirLVeFpIRqyXCpynDrbCNEcE/ue7YbKCWtdwfJBaeVYjuDjuj
S9x6ZgxrVlxk3LLINlOLuW8m/sU6jiKpWnyO2F+DqHk3EmU+Oa5uDc4qc/OM/JhqL0zlqx4Tc4uq
zeRbncEWuHz/dRG2a4AdSXjQ40AZMgBs6x3Hoc6ZU+9zLLIP1+BCxhKJgNvO+TcJYsGW9aG86nkY
KIcC45RJVJd2MLzi4ictj9b5KmTUUW4dvMtI/hhelJl3qrAwIKTlONAiI+R4swgGcKpmWhd7z6xx
cLXygTHksMQ6N1OQBdODC2wSTUw7LUVDltCtcUI6ebkF2NDu3XGmNzWVs/viWrnz7pDBi5aDnQSh
5tHTbbWdOG+syR8u4lOAxPNzjjP5jBTI/IXRFgUniXIPHVlmievM7akypnS4j3rwqfyuaId486d2
hNUARWjGHaX39CtCNPOQNo6100go1rWZQ5Q2U/RN3VRsekUOBdjVBv7JOIM2oBz20C2lSTwPoAqH
7kJuCOE2TiHY9P4/heB/BNNG0k1XH3P8fz9o3EL2rD/+hOD+Pz/1vyeNgLE9F/CE6+AhM+nP/NdY
wVX/IXwYKDiWGCHA+AAp/39p2p7gIUeeApmN6SQ/9F+TRvM/hMB4yATAstDmif+nscKNWv/HmYLJ
KyjfFD6JIpbH9PrPMwXfinu3QWa5bh3GiFBpkU9HFvrrP3woD//rF/6ROXAbTfz5ZfBIM9LEfOVa
XNdvL9PgU0mGW5ECQaf/0dPu3BDnGKIHa1M4hISubP/5BcUtAuH3VyTmh96iCa5BqN+GJT65NUTD
Bi6Q4hHkDDFHoGk6I2ICUXAMXKGNjx9V5yW7NlDXDtAC2TT81I+CFtvW1H5yIPBXcvRHhsDgLzn4
Uzbck80z34kxre7/zfv9y8TXVy5fuc0q6KPG8W5f1B/CRBLPSKdhLDDfB2X+NfRTumzYgIhp86El
J0YA/5KW8LCgbIGtas5f3aiGlylMqi3EI+Y/XZc+F4TvoTSZy1///Pasv94nvD0pTY/RuOSe5H78
49sjCISWI03rdUewDYB5gcs2dkq58poBgl0yQmou8Owcs1aOa9NA4tSGdIR5z2oXId9hKhvmZwSm
RyEqFKTGZQyFky8CpDrsAbRj3ulnqi2u3/ohYwrw2YUCu9+kq+s/X4sNv+Mvt4ZCF6QsiVGQ//75
WhRLptl20llXXRZBUK+pYsbRAiJcqegw1HFHk1qaztoom+ELS3sJKjQvUKsWOYPm0fWNSzeO7bvL
0IhDsiju8tRw3kaRbprGuffq+BbKE/c0e43wXDDj2LdlRJpBmLxXjkZjGzhv1LPy1BLmXRTTmQxK
PMUTrpO0ztwTWx1qRY6AHICiAQylRbLqBnMOAbKg+ckyVIT6EHpEI96MvpRbh2CzCas+skcjr0po
xC0ghZlHtIUDzWwLz8mqxFb59s+f5b8e3N8eM6Rjji2ZSwrpgvb/031BcdykTjM5a0FNfS7JLIRW
N5h3IFe2nhS/EPCM5w5RKxjXEWzDrquz4Zers/oTa1h7r8OBmYuFWHhPvzBbsakNLipdOG9AyKqH
MiqbXd+DjT+GYAO//G4Qj9giyqOfYYQXMg3vqpkI3GVW4QiYQnO8U2mXbNrONf/NjcPK+pcbhyfz
tiXAhnF4FH67WGWi/Lk9BOA8+1OYW3B/+WjtfcWy/mCQM7nRgv58IDLkQ1qFR1k5CMTwqlU7Qabd
M2lu03c9hObPf/4e/mZ9VbYJKY5vwIV2c1td/rB6ZOEE+9IZnPWAE2oJ5exX1E97u03HlTf2h39+
sb/5GJTtW7dRuVSCJf3PL1ayPwxqap019Yj3ZpZTeXuKk/M/v8rfLIh/epXfntJMJbHbSBJiUxnH
36D2Sg4yBSnWDKamzT+/1t+sCMpnSHHbUZW0rd8+Pm7JpKos7TCXkNZRGvn8xcmJg2gtUUWPDctu
UQ4+OhTTLB58wJCrf34Df/OR+ja4Ek+x/tv88beP1BgcWICcLTM4dS9i0Dbuntn7N7uw9TtxyFGC
wsFxFEu4ZeK5+vPLWCy5asoSd9079bXCkLLMzWmbYEIeCUnx4zOH2iXqoq+b2qWLMuM8iyxYsJ+o
VSJJufS7rlm2kV1e3KYatrBcWxSdyH8ratEpIisxDkkG76J9ZdPAoe0616t80N/Iwv8Nxuj3+8MB
AGvb7JXQjG511W+ROTMnCd0h7V5rth1s51j8mN2Eq9kFz/XP385fPjbfZG8mbpTMEZzq6rfbI5px
tXgdUFGcSOEhmFJj55lzfwxrDk2yCbodH7X/b16UUvD3p5rmKesN5RIrK2Of37+ugfOflYNuWffZ
8OQgiF3LUMGIDcbhjcB2YojE2FwJ096TUP9OEESy8bBkfiQhTU0kjZxgR9RHysPt6D40FbpNFreb
qAxmRoucFVXGe2A172UPQsLEz6MIjFw0OaxXnXFeBByxd9LeRg3SmA8+qX80Xxh9xRNCfcPh5BSb
k7mhuefcqzIYVyFojcoyso03gvfwUcMi3covHe4WZLJhxQN0RQ6FfIKdzlaAAcruPLsfTAq/CnNu
zsVMLxBVavjWlEZ3NnRibYakYdwzJ7SQNAGcdeMlW9pEhcnfs+Qd+YIgjj0uoqU/Nv2XleFosyOb
ZljeSvt9jC2Mgmb+VFV4L9S24zrjJISVSZdgzeERe5hBMKnn0PXDNebUG0enKUNkn9lW5qAHYRx0
snWSPojRDTqGLLplDoMhV6Db/m5kqu5zBPibWIRixUgShYUv+gCruItxIGCX+pE2pDLQIwTvkiD6
yNxHBwPuCkMMdrii62C+zjqajlB/yM2Ier1k2rMepbn2y3FXkiq8tTK5C1x0gBxOGRG3k+X/mgZ5
lw7dk+6774Tq8iW2SIuF7pGvfdW/5pE+NDnn/6ZrEW1YWrzoJJGXPiX4nQiSMud3ZRhz/NkHR6Uv
uT+/jGGn7vsU/1dbwYqKcInDZlQIxuF39ed6nMetmDPnoe1V/lU0fG1drYgZDKLwl+pbfxvOQbND
OFcB/VfijRyE7HWI5bZIWqxecTKqB7Jjqwsy8w7RX2jCB84tjXMm6Um1Duf2IoOpe67Q/i8ZdTHd
ioJqW5VGejIqHe7Q7BjXlELr1OGcWiamZa6Ezj1e2a1OwWx063QYTfIJlPgwAlHvkbc4J6uumGTz
7e3mJG8vUZd91r03fSa3KxxMosnroH9ALLOdyydTCNre+QS9fLoHFtpsEzMZ9qVIy58BVpunEtQr
bZwOJkyHYV7pVBwMwNerttXtavaxaJL/7Fw8PUSnVJfzCiEHfGUE+r+U2Ywbo7enA2OD/Awb55v2
0HthmjgXG0E+O067eHwF3lLu7BBMJoP1jJqOgU7XRPNeDUmx6Orwta6aV9SZRJW0jqg/s1K0L6FK
3V3uE4rky6lcVwyIl5x8GjhnNfGzfu3ukppw9xqVEs5E3pQA4PvCzMm4x6mP2p2gobs6La6ssCON
Lz3sQRJBM3GBRlvejW7Uf0snPJKE7CIf9ZG6F6Ycb6hn/gHe3cd+hCbej72xSaVSZ8ApeD1KgwZ0
N302AP6vWT24Z6djVeAZnJktxP0+y52HuTLlpYtyvhOrKwukB0N3sAVBpr5oo03kDxDV0VrAZq7u
vIRxfSoJrMDNChosmKPnVqIkTyUJOaapucBSN0s6tQkC9Aazn6uZbYoo+Wg6HAU9YcaneA6yizOV
wz1BluBXq7pFgpFskXe+6wj0FKqTAq40DtvWrFdp7/erkeHOCcoXcwVjREA3kLQyEIWCSgiZGLoE
/UB7EVVuwNHO3cjcfpGBRsMmQ8AMEQ4o4aVnEG/dNQymI/OTZYcca06TJ+S0BVdcpRdpjgyGp9j6
MkFRXqs+odJXaLK2SWN52DHnIoEM5J5rizRDokfmnR7lo4BbDHQGrn8X9Hgkui3ioG7t1xYoNH2M
MNgAdvosYkaqMTla2KVca1sb5mOZVowtxv6+cPrgbujKhMApkFlvdOnEqtJDEfwIOZ71xADk3gbv
dcvpeq6PLdNt3HpyPTZpeOpQwS1baxDLaGDgvPRIzIbFX+NujH24Kw4NZJqZzKpBiOAEkOW2TJL0
WEqjf4ADCpDfLIq7qCyrg+NiybZdfYlS/FElFsuP2K7Lj7k2UxKxvPglKJTNINaO71DQyDfedQkc
O3VORR9nWx9NzjZyqwhkjZEctDIxGdMUvdbWhKYjr/xdTzrzsmoTjoO49lZNWOZ7etUxS7+DEaZO
zftsqEDmaRbvJK4vtfiVRvQRsB5NzROoakI1RFQ9WLTQr/DJ1JEM7VtH30uOpi2ntZ21wWuB7usN
SjVzLCsT1zHUekusL3shablbu8YypEpnXla4eTa9hgFTgXjYx5EPdF+GbLfR9GC6abQaU0gndHZa
mqtdeTeEk3PElevcBbJz1hirzCcLv+AFMZnEwUIQDPpwxMx+QphDrvgTDFq4cclXlevkKXJyE+Ng
aO64Rde6az5V7kSbAhjNtPAgbSW0ViMiFrKKuh+D57RvoI1I4ieq7uyY8ToH8X0eslgvUBqpFv2X
G6wNbDj3KEvLa0tkAaMYnb95FmNZImVeJgLjV2Vksv3ptt86Q88EFLs2RkebTCvDdvPbWAOGoIRi
YHsEDscmbX4PZt4j4BvbpDDN/H7job/aa+lV2PptG3EAdvzZzrnxg7Y2qtVYuPY+Cft5XyjzVaFu
fFD8/KIbDeMCdSS7n2P95TaoCmkaSyrgrC4ei7o7oY/ceQ1YO1UfwnQOH5zUd1fjBK09xMu/7yWf
c0gg/ZJuPqACz75vwmrdh8wTFIqfOsiHigbBFK2BPfjnQfjduW2ZwHHExHiN41FsfLtwo4XX9PUJ
W0Lw4tWeuOZ5a95b7VAdZBiO9+M4Nl+NEyPM7XUUPQ0Fb8Ywbedbjqb/U8VRcUhjiJVWxM+JQBmr
GpqDQKBYmRuQIBI+5CinD8tvvLu8byYDeGRZrGvfK65V4RX7SCf9dzYg5gHfZlRHOCf9tmFACwFF
xOLZCKhJkghcOWiYG8+f9g8DNBcXpj1UzDhUp4MnuxIdXz427EUDVW47aQjH1JnarYgYs0CYNFb2
QtzTCAlizsJV3WQtWhrcnME66WTkLnSZ+CdM/v3GSo1hJTkMjSw2hvMearYgrwqyd9ciasV3DGNa
pOTQL4Yh9+/9TFe8eRwaOfVMItc9Sr4GeJcxn0c4kZRMdVMB5I+a+6SH7uPOn7aXvHaw2TZRNFkH
QiXAUXYzEB+y0poZVdgUpbiS5VyumdMWWFvZbkyEK1S39axvLSKCoZFOripwyXdMeQVE8C7aeARS
H8DNkIRQ5wHp09GwCRDPJTmmKHZXAswBLcLCnorkaDBmfSnG+dgFX7PtXdVgPTFH/BA62qvpJlps
3iLLtneE7OQX3RM/1Zgk0SHU9u4yYnvaVVaStFOaokFChs/jlJtVvfLA4O/yzGAi5mUWdZJyinvf
qdtHo0lTgsmURAtWWd0pLWLGrY3rOB/jgHB6yVvoHnTghBdUlo8BTmEUPUXxPs7mjLlhMOWO1tLw
3SdB+zjnnt6S1GWskdB5uwLAGa5wtr0vQu8hfeUML0L7NqgmQ3vLk6ywXNflhfH3sOtNEb4XJdS2
Gqnt2i3DYlyG/kEWaXVxUxou6FDIpsecVe09xMIvJqZx4jZUL+GuhDhP3XLmzGpCISRs3o1/8TMF
eVL5XK30ZACZoIyJbPwveGpTsO5r6v8GlTXaK7SYE1lUlp/f9XZEIlbslt4GEyODUuyzLLl2KZci
toxN0fjq0Rg9DgweTcNnrDPlOwd280iLomTwa/k83J2/NUJCLOxgvggY/ADPi6+WpuNmlK35wTOM
k14OwS4la/HB6E1gOp6P8m9ED7iXhTLuzUgGCJaRfNxnEVqAmuIDJllaLEuRldsuUPEqlrY45qHC
+2eicG6gUHZhjEdcR4/oQcrH2ZHGEt/6dIlzltMm990LiGSTvJDMv3apZd1bHvAVfmX487YUkuBU
Ro/dkGvy80QqjnWCtbZKDJ/wtbZ98lL0o6uujX+ysGSnqB/G58FEs4SHPi03Ar3ND8LENdcQpbso
VPNd1kIMF3OoL309locyqSRZfl17igVDdcBk4WtcdcEZ83rBA0TvZQCxeMwp2F7R/EEwq4GhoImb
qwpsBqafm8iBCZkH+Y0uQ3ymM9i/pDadwdGY8kPp942/AHrRXJjYebRT5nraFdRrRzdr3e9BaMIh
56SIL5Jb9aJVMhUQIgbL2jse5+MIxqjYMTrE6V/EQ7bRiSp2EQEUr02T1+86sU3YPSaDg0WpZxPr
UDgkz50gwM5SE8Pf3KibhZfnHGxUmJt3OkJvY2D2XAvUC7selffCkAIvKeyIB7bJZFPLGcY6G3EI
q0BNLyCEi2cjNsgrA0y0Av4BMlQX7Sn1bogNzOgL1afdruISDAJLquIXf7UJsbIRJq7TSSFr9g3N
rGMMlYPUKYxXZNdRhYCLhSaCfflZtIKGqWlS3/G/Na7GYFz3c2+dBQl6HO8peE4QPPsPJwqS98LB
ebkOBJamZVlA0LhKcjC2mZYUu8Y8dfpY2kRj1eF05UJpoVf1aHCoyuWWTX3ajh45Q6nEI/GSB0Hz
q7eSjKM1ncPiYNnI1ZYcDJzhCKMeYf8cCIQl2YQ9c0UlbRhn03FbdRSkqZB46jhvxB7mu2oGlZHN
0kcVFetpkfclFB0q/KTkaXcqAAxlPpxbDHQsBfPcoX9KYz/a5AXp9JBNKG5RXVTrqakn6472XoB1
IGZO76qS1DVnQMY/Iq0gmdxvnnF/Yx25QRAGjd2rMdT4a658tJKcvYfDbJT5pyOqftNUGVvkxA6L
tnTo5V0OBuQVMVPzCy04JIXZMb64dP3eBQBwoNZU7YGtkGWA78Yu1lOXKzLaVDidmtK9ye3ISN/0
Tm/e0Q0LWc/7PGOoLjNIt6gPz3Hvm6cSB/wPjpYcF71Bq88kqVO66yzcr1oo/xYHMZBiFKlyOQxg
WcDquNhLNIrprLKDN0ZKPFd9dhOWxeVj0QfqLqgdUnLwBXxmWDMw1ePmbW2GJ/QztxhrDmk69HzY
tMAWBDKF8FO97GnsxnYjzSo8VmAtzilzbxofdVd7i66HtjgVc7ufcm2tK7TR7Tq3yvoVuyBzeLav
lzANg5YVPnITrkQ0h3pO0g+sEWI9DGW741ENYWd04oFcNsNdsAMWCvegERjLdgQNQjjRFDQrx4vY
Jcd+vk+E4GDAafjTcrTa010Nj1Y/fjei/64b49nkCEBcQiz2UnjjSpXS3oBENm4epe6lrsLwAIXF
v0vQvX/3HsBcxC3xdKKzxc6QU1hjnrA8/EW2oA1ax8AYcRJ8NxgnKwS4SJAtZ2h+3l4CWSR6Xv86
RnaE5MzqQfbMfczR/hawDAAHGjPyYvLd7ICLK6eAI/j84tQ18pR0Hj5jVH7kfWAHO4+B99BHrXPf
sgY7XFZA1snY0NEBXXPsWz3v68FuQStP7ya/Be2VAQCAg0m6BaowgpEK1biqp/mH6ujDISPN7Xev
VsP5ppl7A5LElbMNk38IV4AZFwTEIpcvN0GibUR6xhQ/OSdDjAM5EmjPhixVKy3mexic+ujDRgap
rKuvKRtpt+WdsQ0qzrrGmEC610MbLIMCLhOZVDwHhkBaSUlLSBSbFXTGkS25Ta1x64I5AQHaZCsE
rmVD+odVkZ9sFBuT4BcodVZoLljpxCPObPcnrYzER6auRnMJ3nc/AznJgzp6EBZ9Qd9oMs6AnbwP
gHi2Cffh5BILt1SqnHZ84+2wRF7P0FUN3LGRT/SY/wb80HuJZtdFIE+0UKpmQWs2x0/E3nvoElfe
q55QZUW58tYLuGy5k+dLioNqbY099qgeWDLGu+F+HKB20kswprUvI6Z1BeerC4Qx7rp+6I/ARuOf
YT2zAWeYQogTG89wc4rn3CXIOYSmczWM0HthXl9yJIqD/KYU0UAeQpBLmYtPYoXG++Y7jbHoVJn1
2E6Fz3mWzFmOQNVezMA+KryGYPxugGid9sUSYgMiGhtz1nagltyyTZPtEnsm+l9QobBVbpwut5xQ
r8a+JjvMcBJ/45cDpT0Kz3bPFFrNN8JulW+a2OuurVDmLqO8J6ub9sjAscuCTuQ7g3GJsykheLMM
wAXl7TYqkZOTauTejXahd0MKdgwXQwJcreEM1MCvrYOkeojH8gGYgnwWJHkWtfUjLt0PHzMu6kIQ
bATOoqBxYbc3q6J2l8Q/3xMz7OzCMDKvcCXlUhdSHfJpyO7jJn0qwNgsBNGLv7SwxKNXg1SCyhjs
IXXOa0P3j4GFUwBj2HAd8sGESO2kp5GdlBzz4mZE7q6A4MJHd87zbdPW7sbK6TLT0JX3Q2F3Wwdh
G0rfslgwDHnvFOoyM8yMLaroPaEE3rYj+wDLZPur5bTyNQGMl5UxLju0tMvRmb1Fz+QrBWy0N60S
3iWUv60XAezPAq/FyEV3YD2jbH9qu24zM4+VuuA7Zta1Nqfmp93kaCgHlOuqa2uH0L+bF9FgJS3o
P23twOw2JS40DcbEUmvLOWtHcxRr06pf1g5hAXiLkC+1jJarNdbLo8IXOlfG2k+KUx8b3XvuO1+d
MsJtZ4xij6qdf61Qq8JkWJYNxFpClA3iKRdlG9rHWkdE0+FSqAXxb1FyKQ0HBF01DyxNHIetgbwd
f+ynIw2w5xSuXFiZ3pLBw9KKSUIL+67aI6k9hgicOUuM2Zdsg3iZyvoHCrY73LwgXshiw7AurBCL
TaUstgPDQZnHEWh24r1noTFclL7OyVAjSPEWj+MdHQNCdD1zQEaD6CGMQ+KpRI438naccIQ//ijQ
qh9JXLJXskQ6Krv/JO88dmRH0iz9KoNZDxM0kkbRmNm4VuGh1d0QcSPiUkujtKefj1lZ3VmJqQYK
6E1jgEQhC4lQ7k4T5z/nO9MuYs3dmFSSDxhL5c+qKJ1H+Ptlv41iK25Xo2G5O2Iv3SGnpojmY6eK
T9JIqEgAoS/f20EY0QfURbzgflu73HsD8WRTcMFdiyTZKpuHbcZzW6+5S2+178/BjgEFUkabzPeh
4YSPTQ2sLOmDKth7vnUMJKZmMFynRloJA8xhHOfD4OnkI/RCdkUPr/iqTUSVPhkJkCeHG2kcfERJ
yEIsJPWyJum98Owm3E+gqLgCwnSQZvdBRGnKkXE2XtO5Zz7CgDa95HLQvzu312MDjR+nM311Efuh
C9lqWU8D8oVZmzyk45A99h1FEGvWjZK2Jo2mOYYl4Uc3cb33usz7pQdEfmWwQFetE/TFagw4Nyvu
dWsLK+tO685a+80swPhLtntsxKgRSTRwWwxr3CW+0b4hFLewgEYoYVPnnTxXouGDZ3McjJV0O11h
ttBZUje3dmodVVF/xCZoIuZct1QPrKKqvLWN6AwGzXh0xFKP4kRldC85kNzwiYtpPkkbbsSY0FUE
U34WX62cAJThkT2QXEmYLs0NJuNgPxTBjyEaHmQzvTmhmvAyA1rapJRV0MbNz/Kjbu+UbXUN4Fas
3ZYPepEgNkbSWkw2on9g7y7ZITNUMuLYBWnugptqZzgTraV6KL71IPM1yRPKY72YyEBsrzov5M7k
DCYuE6oZ1iQqx0fQ5d1zBOKEALSNSJ3L5ppiYDBz+t1sI9yKyRMb4ceIFKoKQ7y8XGS2uNKaDc57
fRwqu/tBg5iiM92dp7MGvQRgT2YpB9+EsXDTsekWgAoZVax99II5jYLDbJKyMLnqWKw/RXU181I+
NmNAuciIfpqYBsMRmb5jdhX7eWDFRVudbhICoABKJ/02e9zaKJ3tBpQNlw/LrdsWb+Mo7PtIA1na
qc6ef9Rmkh16Tsc34Nvct7khVMI4U3K0zqhMr9I5MG+m3DCblefxMuAHM9J9oaLw1kYa+uRuyi0E
TPQ1gU6PUMHrxytpxJ7YhrSEPXOFA1LRLnXU1noshHl2AoN5gRqy56JrDm1fj7D7x5dOAZ1QVfTM
AHlfC9875MyStr2mn8WcZ1BlspVo3Klxa0eMFFlXkmfoxETJ/JqbycAHbZW7Zvur1Mm1brDPO8m8
96x2A56r2rrZyJaNkL/WfoICH9fb2KLvRuG0ofXdqqNdMBdUaVW4YdwNqYafVg+pC1MjFvCC++eb
WQZoq67THGVqNV9lhh67mSw+ICORxWRFleDwmONVpQdRdBn1LvATA00/lhf7xbM1uard94h1NNs6
ERXIo9eshtKN7uMmu3Zez8liqJMTkxNGDlaRH6Y2IBvQmn0FiLEY9YOG2n/AeDaqjUXo9uBnJtU2
JcQcTitp+payKn5q0dLOirnm0aUYFJ14qpOz1A5LmPSGuy5jbDaQk92ybhjnPLFqrkxN5RxbiygI
RYgUSlBtY56GGRgXI7SaCGccTxjGdQ6YlqOYRaC54yVfG1b/kilNHNXX/jZxh3Y/+iLlWGcdXa9m
GyThuJeKE9SKS6l1ww2uWsUkrkmiNY2+L+svlSbGd5VNxrr1euOSLSfeUVvJA349knTB0NNokad3
qdbugUfJviONqV+c2PK2fmBI0pIa268k9GBpSH0yq6Y1cVnWrdKiRzRi3Jp4A2fnsCH60PD+DJzl
dj2r9N61M+b+VbtMxppQvObIDaCLvX5TZwQTysR2H7AoJzeZqOQnpCK6sFH12DwyUvSb3pHEm0ey
r3ncjxs0JHuztGDA3TW6N8Lu8lHw+byPa8FHKbI7dAddPUisWquKOdSanUdtUhZZBKrBOZqNSZnB
0iO78TMJxq2osz2Mme61CVnraIpjoD+WONtWs5nyFxdk5CH5l6DYanz59N5X8aeDj/ZdDn5yO1uq
2TBOxMSPUXFVpUC+fOzua8skuyOzHD5c+XufuM+WE1UD785YNf6HMRrvpT9/U7Fu38jAvuMDhVqP
mkTHeJfexYYo+k2ftsvNwYmL6RpoRtf7mltvv69YPAkCt2o48LFuOD7aSKZj4cdHMpnRs9eYal42
osHcVAEULdqLPQ/LgA4u5SDCg/SK9tOKKLNBcw89u7ttjGI+luZEt0JmEBvpxhT7TNwl4X2EWPTI
pyt5zcpavI2WnW9cT0XbyJDRLqxCfeuWFbBVr+d+Gc4DY+dcmG+4LrtnqmQRpvyiQQ7Xwj/GrUUh
l+9G30Gkfap1zWwLC3J+bKgXu5RFWezYLfItWUJ1Kiez5j5KeJ7xi/j9ltyvJwpbz0bK7cuK8vwk
54j8Xhd0oCwSJiY69+edcuirR2ihYyrOjI+MoM+LrThol1ySDsqgrLJ3aRqYQIbsROduc2vqv6h4
JlI9WqFYedZI6VUskgsw5+mOT2TOkdpp3yt3SD/tIEdLjyP96HnWAEKE+069mRkf42DYoBpD8kj5
3wyV5GmmtacnBw9nb20OnXoUU6GuDjgFeTX9cjh1syjxLhljTyQjSA50YTJB15l5N9sxvYiGW4hD
IOJ8S98jHhVRo+pBUHgKCSReSSFwEBEeok1ujTzPPHp1pBhi+jp/jtsCC4mBhUqr6saojGevNL5t
rJ1PRW00D1XvhDujmpLlVFsNa5J8L6bRDrczOIcnm2bDB4OCIGo47kek1p1FMPmN7I+6k8KeaGeF
N5diRDnbVeKTVwn7N5aVNxf2+s1sLOeDsciuduZYZwgt5j6PaPYhAZatQzlkX8MQql0zWua6pbST
q4rJ6oDB6sDdMAG6WFsdxW2eI4+5p5r9APfjvYgaUiLdrK3PwjY4j6mawp6cc/IZll20oeAEXdYp
qStxwaNEdW8B/1+sESXt44MNer6oXXSfJQBne/2pHmmRj10h3mRAARCC5hAWqyYpxD1ia3Im5mfD
nO5Svqs37arazOBp5PZd7TVqWwSB2EBFp4VJIGmk5S/4dTt3Ys/Iw37ac4wGpzvbTrMKU+jb4YIs
bVxUY9eP3v04/sKl9O2jtq5pddolodjRukKaW7lUSjXVd0aVGPBIY18mJOWKGb5jNoNlKAags9Fl
9KqXqWfZgQixmXIGQ4aYSeNF8ZZHdt0LZzMknjjmQ/1Imu6AY2jtmUN8mGF/ruVI5l8yFaLUZmKQ
5ffIPYUyyd8aB202p9x2Dn06X5wG9XsWLhMhvuVB+VO6c7oIP3KtEy6TfZ/+8Oq53RkQ729AHmaP
FvOvJ1lyY6x0ghReVGL/v/RSndIyut96kOY/jDh2brgCmzsNoX5fqkQ9/+6Y+68GUf03aqTE+Wdi
MfznSZC7vkw/fv6ZLvXHl/wRA3F/WwymbFI2LUAuyKi/x0A8G6ocUQ+ohkimrhlgDv0jBmJbv0mO
1d7iC11CIBgP/54CCX6TjiVMvlB6i+f3X+PN+UsA4x983ByYuUlYAR4x/lnKN/9sII4i7ndJaZX7
vh/UoRVZ/1EmzGwj34a+iEOMM4aJIE+c+1wOOPZlUUbHdvJTILMl3ceYTl/oc5FfIPlLHn3P2HnC
dDbWmE5nIyvjLYc1GtakDEn7IwCRUvhwe+eOGqeN3eMVdafibBgU/o0BjkWvwmjXBsnVRppfDzp5
Qcb+CmnRsgdZnDJVN3uOk0JjKcymHZNfbw1xJmG05wHElAlFLk0W5ydbO+UND6++LYVXfKLroPDT
F/oTUw2k0twZb+tgNlhkDdL7tetEL5Y5yDWTj3rtzH2CXyrMfiBc5hvmUA293jZ6Qpbk9ddgggp1
mip6dQo1Ho1yCUS4glNgWdzXGDY/MMV2pxRM+nFsfZzwhu8jd0ikXqUq3Jkc6/q7OJ+mA91P9P9G
Y09NpJLT2i2pi4sp0nieOQcBPyGkjcpzVbFDi0FIF5VReHeWUw7PXWBG302etG+JOzr3hYnnnCc+
IM3eYJNqf6+xCpNH+piQBaz5JSXSexdDQ3m0yY0eyT/2564Ik8sQ++XLGE4mdlATdAAs7Q0fjXXb
NOkHW3tCBbcP+aBJhCA7PHrDIz7L4oo29B0il65JztGI1bvNm0tMdm04c/3p6vAXPiFfb7xgIl1U
H7JYnnqKsbZ0AYl75tcm+GzslSlo4zfHneqLQCQ52yRjERR1/uXAnl0paqTZeNIYSnZpG1csTb5a
YRaRn7Xsm33NvA3xOMYTEAMEK0xKzUZajQ6U2BVrdEiKsErDumlm7ztsz8J6s1N+sgn//FEZRXXK
pVIbHZYUrltpX1P/ORMsIBlcaupNC/ZQt8quQazVPmDk9WzpXNwiVrTryKmaV6H0fM1nmsEjkznN
bDV03hAaXdtLa0hPjR99oK4V3BQjytcqrmpMktSHb/qSjSk33F/96PjXrve6bWM1tCd1DTjaypqO
HQ/zFSf+M3QPuhwyiYsy8fydmlvvKeDsuKNTklBljILnAnhN1tI1GLdnkdimrUt/NULxTpeGsZ7m
Hr1whgTl9pW5dTRzjwiizE2BrHuwGvajPDWLY6GBCU3tvmBQuvJ8Tf+KHzobmfpr2bkrCgHqvY6W
4X5Di0y4nge0mZHcjoznvYBIRgnaBBWiN7P7enKTXW1wVczANQK2Z68Wrbu3wqQ8+5bpv2fUV1Az
YJbDPeav8cEt63cMQD/xuWylVhdVep+Ug1JyEmb+oTZaZ1EOQxaf5TsWrU+5hhhz2j8fRuU8+CJh
GJjj4qO/YcZmDGXeHimCCBM8HVNSfNmyuraJntivsXqI3jUeKrfuX2OkbGjYmSan75q3XpV2ODZL
cTbTqDtVyna2fVd7352fhTu3cu2btkdEibnAbsPECx6x3vOqTlALnDmYuP1im6lkBbJC54uSOI8M
wnQ9vUZF6B+5+sTbPEOKt0yvOk1g+tZeNqj9gE5xzCqJuCOUco8KkWwf9qG+8yMtd5GHcyO0I65M
4bz4rnm350zGa0nt1koYjGazoCGjGhLMqmnC2Vs91MOFdvmzTgWFNXNWzaDLQDsUZgeaAr37dS7B
oAxYAC9dMA4ns5nKU5mPJLiwEPwkiNSRsufcyCjRxBoK/AJHGpfHfGxc0rzWaD8zN/RA/8Ln2mbl
1OPBcmIf1C4L3zZOfHuH82apLnGjL3J5z7h7mm09J3sjx9vHC3HIncrbsGHIt6EkZ6VGkPj85fRU
UeNTrtthltFS25a+tVGhtwVBkTUmxG5XVam/CdscBTC1iFLYbYwJKeh5/rtZrhXsp31XSvNOefk2
M3suWlGwhscyrNLAu1A+gjnRjiM0ZEoINZdZwKyPpR6mswR16pCtdbpHKl8BS/fjFyW52WGsFsM3
PLwYR0FqYzGCkDxxrOIylyjaizr6N/Y2V7S9LVnBJRSj9RQS7u4LPXAbw4Q8eM8p4wH0C77BWmT1
/FanLBurKCxSeRhoUMGK5IRrkyojin9aKKdKc0EL6U5i6PFgukBX+e7r3B8O4RC9dxmrfp48keS7
WlSFVkDPueFGxVZ1hgkzkSkpHZLxBcNneoIe5xy91G1odradV1kE9ruy03GTALqm5iZhRhDWj4wr
WuxczFHWYhhotSvisn7j/Msg1p27W6+Y63NleN13ETjGik/usg3OCW9qUe6UdAOUfRU8KDfByD/1
W9fs33o6O8KUMr4x1aTeopuqjS22WSqSQ1RKXAxNUsEsS1lUJ2HCVGpAJNrqYsMCKyZrIB+HcchJ
7X2FXbdF9qdjIsWzZmQFBieGzO3igpj8+mI5foR7NP0Wag7kDpYKr2KurPbRjsaGUspvb7LHXxRC
hDBYMvKW1NCfZdf65X4Yk86F6DB2H5pt6DvVJtfoyczvKMomnD67xOI3eJH1U1H63VNGJtXYBHNW
oBBiiryfB7PbzLVsb9A00f06jNhgK2bzhaUHyzDmi71qSrUarRkWrlWKjV6wH/0ym5tF7D5S7jWB
IZp1sXcjQvkbmNhPKN1s0o1/6xsSJbPwjRdmGBhIK44okVl/5/U0PdUFxCBDee6OmAG7t20Xwb3v
cIVBOqvKAWBeGV+pPN25VJetOrt/E1373DJAW+HCsu9xt1S7MiB3xbYX3JRhQQ59ppnnLZUMUiuO
FZHMPtPY2dNmctAqOXeJdxi7sWeeB4pl8WPS75nZwPkiODG5SunvpOJUmM0BRsQdgLiHzIw/2dBe
xnbA6+jsYQfIK4P3ZhcJB008rfnszlqw73IKC2PAka63SdExbmrlLJe8gonM7DTXEO9qLsOIvrrJ
o4owdvoripleeXUDtcRQKR2XJLOfWH79y6xVjwA4GA6z2KA8CsGp04mvZpUlWPOUsUmG0T40Wpnc
x/35sUpzvYxp5Z0gjyKL9MuJOMAWk9Ofe97odZP3Ny7VIycjhhSoJBZICSIf/z+oo9BKFtClmA54
nc111Rof6ezWh7nJ8wvBOrboZcTTeVW74j46kduM5UWNobjj+N2cfG+wDnU1AlcImTDTr/rek799
GULWP2uAxsOwyIBr2HX+AynE+jYIBfTTtPrw85LfN2hrcrkMjLHkHBvQJgx/u7fGbT9gFspNYnXO
CmsG9gAajkJTGK8yKfy3shiNbcJI6Ll0CHW5GLl4OxKQabx03xSMFFtOlO79OM/RekpLU8LIQ09y
myw/dE2DsXJwD3AzXV7UIrqEkQFbxmeTgn64sbuyf63jrrnIxEfxSaql+KDB1dG6jbH4SJn8jZnC
O9m0S/crzKS5CCkIxn/h4k2jFdKR+3row+dyjpt7wGvYELDPPdhtbdNUgwTBGWx8qKy8fG0jNHgb
MOiCXp0fMOqbqyHp8q+Kntt9Q7roV1DX4X7C2sqciRN07aXOxRIOqQ5ND8dHYiXxhZkXkqwgdXmu
sMI9RtFS1my4TfKi4JWx1FI2TUwUFxzlQvvILswrxiae6yHC7RErdQzx1SN/l9EPqkYEeCbPomVx
LL6cpg+uhl/Ll1kImBIdwVjX7tV7oJroIWvS/LEaJ+s0+szBVqkgxUf4y13X3AS2PDEo72rZXMv4
XqX06LUy5sCm1Esfh0CL1DRePRqm1u7YlFdHdepckEfb6jD8Hkt0J8a7sYsFfOboNtnhLtOu/y6m
li5w/B8Po3bVduoEdemKCk8STZLePyl/cGVttrqIgu+6gwYccAE8IrRUt26UJNdBxMlBOnANO2b8
p8oOTHYNJ9hNZeMLhrt3mH7LbR9xMvcBwp2o7ZVobUF6tXR7W5ixtSDD1GrwuuLka7CLq9oKjp0n
7Isc2+wXf2izDRmNnjMvdihV6tBLsOX/Ihvy2RVI0b7ZRut69KONaCc80oEA7jQgJMIcC8+kmK4D
7timEcGNVdP/5/rwRsg5J68wombQ6Pk7ZcCa0veUPmq88YXUVAaZxbyuLDWel0s+0+/yuxkJ5/sF
7pEumLe4T4JNTQPuSxxbhk3RmYg2Mc/cJh9clKmGSEjftwIWcUXxKz0Gz/igsM5W5vAS4X8jQGE+
pkibO/RDfwz3ImuyU1gM9+nobrxoZHGZOZKb5g5e63ydqSbYLTH8lT1Pt6mjfvLxnGjdJrjSQ1Xa
yLlVm6ZrqJEOXGffakGiITMX3o/NBzVHkevaFG4Os04dm9eI9XObL2ErzgbJrmoMsDS1YW2554UH
CCb5JnNIRww1tjQzVs0BOyYOCpkWjGlVehJDXa4aAgi3vaYzR2kPZo0kkuDZ5AA4jUanZOqhT+UW
S3ucpZaFSzmkqlsH1qtlcXhyfGA5OeyivMqjdVUb9Dln8hBTl+f7uEuiYbwULIX4NYxpeFQyLd8J
NPLw2LEIP9sQkxpJNQ/nE2ZZ3EHmkN4XrTAeJofyw+LYOgO2H1DPcLV5469k5Mpr2qXiBztgC8wF
6pGOW37xlHKIlU7EFJGMC95wiYcvlugdrKrcW1ZdMnM/xWmIxt9mYu8WQbcHxOg+tOWUnebO7Y9k
juSDPTnOvh+s9pNOcBCtLs3c71UVdJ9TUWik1pqHcWDx5KUJzmEjKurRBv+AQWpe0TROlW6lug3f
wHnjLj2+DH1SPGJ6dHCMWlBtRFkBgTTbW5v39N4qLH4ZGHkvkTV+13lKsUeik1NsDuJ2FvxbP4XB
2rHtYYvdiBpjVRqC7h5XbAtnSR+GMR04s3ExUpxrGRjKncfBgmqsBk0YnhtQM+DkHNNTHluzDrxH
j7T+FgA4PiKAYzcm82Sr1f7ajCQr1hAlB8K72Slo6RIMuuppcrOPth5v9JwYyNnJF5Un6dFr2pti
aOmmn6eGINX0qrj8APBawRqYb/pg/lE1pXFKUsxU/78rmjawAATFf65oPn0USf4/rh9f/Z9VzT++
7N+Z+TZYG+wkEIwDqAjohuO36v7P//Tc35AnrcB1bUTKwPb4UX+omsL+jdx2AJjlD74NMJE/ZE3/
N9OTkAVcQPeYSMhd/yvM/L/G+j2ssEuu35L8NMu0/hJ3b4FK9i71X1v2/jvBOrnKjOZH4dgRBh9q
57rs5KiJpmAFOfVPr9Td35TTfwDe2Ms3/7OiilMTQwl6qu3bgr/oL5H+yRCkRT0wUSI39CHs6Egz
Okol2klNq0XjYfCcWpdEDfG+x7NAS7EwP0uqpbZBPcUgxztHcQHSeroOkoWE2K08l62eEFET+9S0
uPqTVgU3dqI4ULRMjIgHo1mBmgPw3dbePZ5gmd3UBXmOxqURK2bc6rEfXLEBVTXzslHcOgQAzE3v
qhsKQHCiJPQOVZJ2n4X8yoQMDObVg2r8xFFdzcg9tr5v58iiglwZT552kCr9imyTjYvH82znhq27
3Cdkc57TpGEx9MKchspJU1Ti9nvuPPIcYBjYL2Q+bESOs2iUBoWzlhcb2cHxGuviYT9Tm9ZIemRV
/Nf2uQnBnO0dzw73URJgi4JNSe8AJ4sf6FKpvc6s2nrANRXVa8IOi/3M4FVT9nyYh1Rd6HMysBSS
5rxHwB1gU87mO4ZsRdICb/u8NnXJl7Kmjm8jTkHcJ/5YPJa2eu0bQ26HED02sLqzXzrnACbegRgn
bJLWT/ZpY/xwezO4MXtnckHBTc0q71VPvVOWwgxzU3vCHVBM07WvuSj2bZadse8W+zx2s73lw1de
p41fXUqOf0f04OJgkxh6IqOVkvcfo03S9hq6jG9sdc/brURmfuQl9SooZYq4uVdM+8wIbgHmjJcA
q+guq9v6xjayfWV5IGQkfMSVZyj/IDpuXwFPjtxMXS8uczLG9RqrqrduU9zKKHXcb5b4DOjv2jlG
nj+tEE6hmcMF3jAOVa8uJIlX3FnmTY2NtyXmfPZFg6q9fM67iObUhkHHjT23wdMAXHoVF323gUKn
tkRaMWYXQS1XUQP6j3dQPdExlQcrCbbv0Y8Uw72BeYWgPBSnbrxhbIv9gL7T8Ufq97bY1TQ+m7zE
Zkk6U8F03MZilNnO0bpgox8tZ9gVSaKvfunZP0sn7B5Mu4S07KUdEzVMAI+jHXrfNK62j96ogmdS
eSRD5rg3fqSJNV0SUmFPNhIgbIFqaryrQ/SNi/I0VO0mHGQ47oRhcEkKJJWgIwDpaDVl1Cgeuywa
f1Klia46cH65pC3elR++T0Oa9uSMO0L4i4fGTX+qqc3vxiLlsMls80klljxQcXxUZSIPUN1+6Q6D
S9FOI5BS2/4VVV79BUsnPcyRTG5oyoiP0EAROsKadviosQdUYuoVTJkQZukn0T27oxV8ppQHH43K
1ZuF2rAu1TjCBFWFPGQmHrZNgsZ4g8cmJppUYsQPc855/Si4A2v5Eeqh3IFNSH5ZDGy33A7Kh9IY
fO4fgfgAieXeiV73+zAOeQknXz0zdK32+aDMS0cZ4lucyuYFn4b9TGTVORLoBnxdz124gS4BmK/v
s3Ff02rN6bPMYQUxiBbtJzaeMjrHdhtxjEpz33m2uBeOW8lXvrU63IdkaH6FIfSMgzObvd4K0OP6
ALdWY67GPrcl9r/z5xgyHp7PAopJ33Lki6g9oS1pmsmuc3JrN1M6JB980iZ8KmE8syDhCSDXkrAa
A17luhCjj4LXqEk4bWy7L+AIEgG5dDWpI02Cnom6g1tiCQH4x5CrzA9pyOCub/VwbEwvfFU2ZG1A
XsNo0Cs3JsYW3ZDHBvNs+BG7ABuJqwbjmSTv+NKnZecdQ6tNwg3cCX0vuO6pNQbNYRtSOPJRplN9
7VA4rRMoyoB46fw+E+mwMETwwuC4MB5LgFDfyN8D4nEVb0dcE+R+ewqQVoj1dEK7c1G+8eFHY0eN
5BQ7zllg77Owgw3aywbDYzMOLtohjj7MGx1+4BVhT/E+1YO9GToC2bsiNktn5fZN926UaO+MmGvn
tXBq861JGKmbDZ6BpMeuSYN9sAlIZO0AZVM4DEjrS5GsvKIzBykCaWdSRsO0SK9zHVb7OaJsEzSX
m5y5o+gKV4FnPyF34w8eHR76VeVgt5vTll+gyHS2aJJ65LInUkDAUZYWxipTGdkx3TusFwT2iINX
GeZkkLmyJ37k2nra+dlYG3vmH76xspZ9x2c68MLWE0KCT1M6VatpqJ+zpNPnjBP6jreMWUfqdzsn
y6cL6h0bXhSgvJsNnhD8uvQd0r9tdGsyniU5StWvgQ8ARzGovaH2Rd5R8wkSLCg8+zblbH9lZMIc
iU6dSzG3I6upjs8gHMZ9nPUMjmB2puUaGRoKRFDb8QN5YkFNF9AUGjaG0VwedMRA3VGgF4GK+kpn
Ylw4yJNgWlVZoH61UMdvtUaEQ0qejB2mTU5CQdXFbxzrnY1vVh1Ijmpvd+50FxNWfgDfH72Ijl7N
yiKjEWLbw5MVYynE6iHXsRe0FxVH8a3yFI+t5RrOcw5b/3Og64VnJiHvY5nRDOB1AdGvfWiIK9tB
BvV1fIGfSUpzYEPuG7DSZoUl1bPip2FKx+uga744drARWpWB9gVi8+rA6h1WI1OSh4nCHzxAnXmO
8VRivCcaXeUPIP7I11UaKSFwgQgQLOQA+0kkUm5Gt72l2gBuzIKWdtKan8cXujusJ94Jqb7a68y1
1kVdxztncX2R9y39O3pOuNK4isTuJrMci+iiC+oODLr/xi7H1ZLmVfxeLgehX8UQ6yvG8omKwoQC
BdciFwKRO6GDZhz4hY5WXCBLEMQjWaH69rufuYvtHT/pPmHhtaDPu6WDYmjr+oDWZ14yykAg8vg5
AGyqdYH05wMtvty3inA8LnP6peVCc1rLir58dJy5oeyk0/2aigA4DF4k2Q/rPulfO3TIV0b5+dYj
oFmwhU74/LmJymJl+r5Dd2pjup+6zrx7B8TzC/YayrObIclOeAFqG6gDp69tq8zquYkKNW3FOPA8
FXMQ3DWq1tfMbIdDW3rOE9TC4GBaVoq91fXfAEO05noSfV5tiGNP9THEAsUFkiA2bx4LeE3uN4dg
S4dC+x1kKGw7AO2FzY6ezo9YIbCIc2KnEL2cU1MezKlqL4CZYrWdo6q6xKQTfnV0VrHEp2IalvfF
YV1V9BSsMWWwiCHlStAmzZiPt2XhuDmJRYPCVcqkBr11ImOGvW1OfrkBEcS7Xs+aFyjNggRtgwOx
3Mk5th6HlmgkZaheZG7TwbKGE/b2wd8JJodXH0bFqR+83OfYY06cgEnJr8TsZKeaUYbitGb5T2Qd
rFcvNt1XHup0OAloY+dCxNNFs+hkLOmZ9zzjdi3P3IaZ2JnJSHwmmxZjP9JYy5EVgPSZ7hPjw6fQ
cqLbRXuEk02OUdvRwteztrg5DLvOdBlS854E7Smew/A1z4f0pZ2hYV9oGHX9o+zG6JhXLUH4tjG+
TUF6PQsFtVUmu8pxnkaW4oo+7Td7dEzGflhBX3m36xtHaHIAurC7o2Qxp5Y0t87aibjHy7C7ECDK
mUaHzE4Ys/E+8UtgJ3Sd6VrjV483XhyFtMlzPMKeGjTyCSduQ1vFf34fE381uPhwk02cUkvrI/2O
DtfRPxtcaEih1SZxKGoVZn4kgwL8pHxsRP1mB8WjJUs2Vg99jkPmDyhE+m/ywef0b9F39f+4D/4V
8Lb8eNc0fcwIuF5Mc/nvfwL0ZaGyimw0QCqHqlkZui7J7Sf5+T//K3+/0f7DpZMfE1jLjdPk58jg
L5fOWWnA4drpt0PULSIzkGh4GbbhH5yYoeQ6G+rCWlkBqHoMn4aFPYcatZUAMPYmplkeZ2Mp2a2L
7iFjmH2zvGTUIJrW1RiZS1oWFwUyK1G57tkXuzu6DKrwbzC+/2rv2E3y2QL9+9X97+U7fwJ+b5Mo
7n5v3fyP//ffyGFGIsmyPBsR459LMjffUfyRf8wff1Zk/uML/ybKBNZvnlx8ZhI/vG3ivPy7KOMH
dJtK7GICC9Uf/+UPUcZyfwNyR4EpXjPX9ri2/LsoY0k6Dvk8BRZ3rkDgRvtXRBnL/gtOz6cUxOEE
BXrYd/hmf/Wa9dhXfS6b7gEQFT3GVpO508rnIIY9BiLD15ThMOYIwgYhbff/sndmy3EjW5b9lf4B
pGF0OF4jEAPnmaL4AmNSIubJMTiAr68FZnaVSOWV7LZVPXRbm127kzITEQjA/fg5e689YL2ZwVQJ
qrplHweR8wDCrDwhwIb40Ubk47QpUwNzi6f7qT2URuI8QDnB2qm1eVUahsdzSvOS1GqQVPgiXDcL
joQnw543Z4kA2kSLezJ3RHN6XpzEOxn18X3n+Szao1H0HE8s454wuPZMDv7w1Lj0jquMqpulhEZ9
JW/NBUvISM8cO+aIz6QhVpFzqXolOqzRxLfgBMGaE8fnEGyCHk+TtZx7Sdfgd3QTAlgJ2IaNjkza
H8CBtXZqH8H6I+zwFgdd7pwebcSgW8galOllMYsbTTPnnsaLPGgLungjiwAdBD0uxMgm4oeSeNIh
YHKSiC0eCLt5HGuJuiyqp8ZnsFjfWoHRrAD/dC53tS0d89xGkBOfcr4bb9qROPBtXNVufN6mfaYP
ERJdJGG6iAlNqtoppgkR4aKPDaAV2A2yfmRQO9MjKsbAsG4WpsbzlYqlqG5I0wWJsZhtRB5GZqjo
JGmocE8Gk1yA02jUhFbWWWSNu2EAmb6n+VE8jQVIzhtZqt7eWzjeJCW1TbMbDwtDHGfpxmEfiW48
+D0QXKrH2Kd0K4MD6B7rkRM6B7vYjGOItN0bISekp2vsTsQvnNdqRuPumMbRmOT45EM52yRmdA2B
mSEbpmS69xNIGQf8AB2VFFFSbu6FyVpZF1E2UaGY+oBRv/vmlKN/xHSSpIcUmaIFiQVtFUkG8t7z
8a4AYKzFHBLlJe8Ky5jPdZQuW3dKmbR2fXHX53MbDojbN/iykkNOy+eUcWAZGh2HTzOVp7T2gh1z
7+U+ItgOLlTtnQpaSpskMw5pZZlXa/sor7tujbBKEdCL7ooBULTXlO+McBz0xZwuEDHXdeKjsmYr
ig8kdBXnHpVIyD9LhXNZlNRFiLNo1rnpPU/rwFDTsbItllPoRnOQZidzzFlpg14QDYwlwEHFZChi
1boKZDQiPKHkw3ERWR3ZW9Mcb2BaTyYDU61DpRLsr6X/OKUpEJsZsTxBxbs2MJfHkvP3N88mjUBJ
v7nDOtZhbx0y7ns2H0QWt+Ate/eEVupwAdPkez0MDSeR2cYHN0X9MTeybA8N1MifGkOLO13PVr61
ktx/ps9gdTsTwsSJLsDRwVIaGHI3zk7g9Nl5YzvszVa1hyXwNa0sTHQlxMZ9QbLB1lVxcYQ4dgqP
H28JrtQL4SFcicxO0+2Ki+s4cGAsNll12s5JcBU7bfTi6jHq/+Kd/v9t8TfZvuw3gqnCv94Tz1/y
Lnn5pr9/bz7sin/9fX+rr90/1q1wxc/Dgne8VWP995yCAF8TuiFbElhcRhj/pb62rD8oldkRHZ8m
PjMJPsZ/zinWTpfNnwQ0ZNd57r+zJX6aFQhUJaSN+z71qbAB+wefWLYeDLxEORXpfLo8DUrkpVoW
53Gpnnt6nhvXN1lQVt2goskmyZP3fPMxIaz1vO5GKvLs69CoSwgJYFaScUBt0V9jhfE5kBN8VQ8G
kBAkMji5i6deotgh/fNJeyQMjvMpQxobAqlo2AqwVOnfgZw/Umzfv5x0HAs5DdhhixnRx9I3A7zf
Q0pyQ8bOoeUN+zx6q1RzTTny1yvyL4vsz1eirqa6kTQ++Bds4E/Vb2woCywKIiAAmniBK2xgxvnc
E0BGgswPj9g/1PNrWfZhvCNcAXkYZ6RwPP7jMzJ6Fqku2U6MsBLjqx+1/hYu1BcYC2qjAusEfTZW
FML+QhP0WeiPcJNN4cJipOd9iCzNOGBYY9/8r/xV91VVXhgezXU64E+xoc9q4b/YSeh6jQg9Uf+p
JsQFtH3w7IKGnzlebSovBSnmmKclopATp0sgM4/5tHM5J4b0RF7EuHxt2/TZaVnzi9z0fnO7rfWX
+/G0wZdnSGB66yCRYvPzfC3CZjzOjhGENar2BB6pVU7tFhHPvqlJVK2fmlK8GBw7bCJJJnq6NKrK
b4WRfP/1j/HTsQfjBPgWKk0OVraU1qdB35xMdJljDyVtj5LLaonHHA3/iUkCrV2reC2G/MzNZhJj
izPmKPe1N98gl/IPDqMOaCD2jTOou2wiT9trD27svyxZ/FzO1h7M7e1vPuznkyh2Dc5n0rWFyYyT
JeTj+0DhKI28n5KdaS4AS/v6FLzGvTuad60h2NzS+26oT0CqHpdJHNLWfDTIKNwMLhv+lISQcMIR
24Pfk+u2EGqRMNnTjXJ/d2L+/OvyOTkqwyGkIKal4K9vwA9HVi+mbYHI3MDJVNw1Mmv3ukRL2UIi
0d5w1pF9Rlder5piBGO5Wp7Hdrmj6bgbut8d3z8dGQhQ+fBZ3u0rP3wWUzRWUfhFRP5nAsrB3OSB
tTEjB6O0feh+e7n3NenHJ3u9Hsd1Yhz5pRBsf3qgGDJCMSFCCVkarSkQtaCxexUOpeapcO+suLAZ
K5R1ONZGAhPbT69FMp/QGXn2Z8fZZFnU7WJdck4IqieACgxbgn2ZdfckBeVn1OTFdoiCCTRjehMQ
BEr4dwAWbDmXfeceMfdNm8bCfK5o/M12zdCFaoxZd4Z+wit3rtuewzXECDqDjMKY2h17aTLu8Fqg
VfRcNraKnV3vLNe/fno/LrH++w8hbFMw9xKWT+TAx4didohFrMlODpfFxdET77PmkjBz4gh/E4hi
//ya+JAa2RSly4VQGXy8krcIeuEIOXdO5p+lY/6dzGCmD7IBrBQ4Q4gZ90s26TsXwlE/zLfObH+N
JIpVsuafyTBFV9R9i/0FLnF+xKV53/fqYqqLw69viPvzo/nxc37q7MBrZqLetPkuIoJwtvS+y31K
5qx8itigacaNY4hEmAkoBthNMVUXaiLETjbtU7xw5EQgblwKtzN209Q6R0JvxwvVqTIEXJGDIpLM
u1vhni5C5Y8YRGoEfv3lWOsRcsXQbZqeA7BhE+FdBVxYmOMcMugoNlEL/9fQM0IHbJWc8HoowG79
ZeqzlyhpbN4jPT/P3vBoI6cPFyqHN4J4CuSnsdpHQxufVYAV95ioHn99z35+iKh2PHdtNlj8u7f+
9D+8zXkfUG44xNrEXnRJVDyLIOG9RNNFjb3/9aWsf7oWNYfv4G5zLVx0H69FDQ/N1qkD1FGLg+lo
IeK6caDzzvEjIw5wsS2WmWq+6OI3SK56WztAYeyADVb3jHqX2UK0mnnq2gp+FzuxXvvjKkM7Et1M
ELDaUOd+esSLbLSIgMyZCpbF6YyIyjPOlvbhN3fgc6Xik/Bk0lFGjmKRMLQKcX6828rO42EURbzD
9rGRkz8dZ7IEwsjrD0ua1OHcDbc6bpoXEA0PGTG5XufsMrN2t74Lv6Zd6CS0Kq1IdJugzXjJeYFy
ZqMi393++qP+0ydde0I0mVzHxnb18ZP2GXPnyWPkKUXNqpKWexxrG6K4E7TsZoFe1t9D6MMx1P9m
s1vtjR9+CQyW9ur68z12Ze/zYjPKsl9qzq1h2fiPkfZZYtSWsNbQqezbcR622IZ+c8mfEqp8rilo
+dHdZ4dldvHx2wblbLp+DjcyaIlEtA0L0VwznTZIXEI7pbQvh1fAGg9t4r6QhfJiLxBcI+PPnj4o
SeR1fSmn6i3znROrhoyU3f/6x3B/WoAl/T7G8esiTKrz++f/4S2dDHSGpt0bYSc5L2fqEHkRAaS8
LosG46TypThzeYjQIL9lXnI6LOK5q9VE1GP0VbVkF2XCvbX1+IYab19O5j4eYX4YeXqtEb00iWar
QhkSNPWrYL/d+QBjxtgITmr+eGkAKmY5hFfiC0LSUds9QUPf59K8H2b3q0UkBOjc/agQfcSR3o2O
yn/zC/nrLv/hqSBPh2MLmgSPdyf4XN9WKaYPaSV+2I3+vV16N4usj341wtxkvLctiDrddV5y0Uwx
46WI/wdY4IaxSrfr4+62V/rWVahDTDQBtM1dHFKKDd4nsrw0n/xWxGEJkAfukjqPu3cAFYt3q+O9
0tChSVU892MXI04UvQDMBzYeyzvSOb9adnphxU6YF/aJytgNoJgyChZqswzLtyQbm3Cw20uFeXXk
g1pmeVUwp56yjFliTrx8672MfR8aDuQ5xAiHvhcXhCscQEUtuymA9mdVpCy75EnuJuTctWFaTILQ
N/RwymitTPvERUA/CWPDH50ClXnVKr6qiyd/CXZp//3XD+NPm6xEdsgh3edoZzoQ8j6+K4OocGW2
DvUYWIEFksYRsRtyIwu81/uV/rvbLP83zRWEbXE//3UD5exFVS/9S/5xqPDX3/V3+0T+4a3rIy37
dbpkS96Uv9sn7h9MuDkDMnEyScb5wbxuyT9chgYU0ZIPsCr//rN9QmeFxiILPH/i8l9o8LzPbf5r
ltZ9+t8/ai0/bxuCKCBScoRDOA9HK/np4RCdZzR+Dwrf67AgkKbGavJmSRYHlFFG1N8gp39r3V79
Zn2Q76F8Py4QnOQ49aLXMgFj813sj49lnDDxFEuBlw3cBAZo3uyBtZ7SwRstBv3mwtA/xfSP2H/V
AkzvsgBAgwsE5K55c+mQTwQnDROZZ6uaoJZzfQZLFolBm85uifnaYwhtdrO8dot26jYDFIm940UE
eihCExYx+qdG3Is9BwzkDNWqbChWjQO61ysdg0wUyB+yVQcBmXGfBY61hWVFI6KtcJqjmugZYdMJ
NeFH0ap1CWtGkL7KLKZpdC6td+1FbOWXfmes9NZVm+HI7D4OJNdDjdMdJkeUN7NX7/ImO8+crLvI
G27FFNCzJigZsTbz4lUKoldVCHTn8dVZlSL9u2ikG6z4imGjOvdWTQnO3WhjC/R3+DrQnNir+sQh
S/YxXRUpwhsnSm3SWGNQ2Ja2h5u5bt0wWmUs/buiJVeusZ/fdS7OaMgrbXT9WzTZ6GCqOkATE2d9
8K1vdAf1U7OCxSowH6Z3JU1sr6qaaBXYdHWLcLVyZ7jbhY3YE40R3jxpyuSMXiPUJWSjuAqR7TiG
Jy5xFbtXJkL6ZMd8wrtuV6kPhb2JxnfCWtpM1fUUc47bLswxodWsUiHygVAN4TSqDrU7TOfjKiqC
ukfvahUaZavkCM1h88CUCR0SXTwjDil260d7MrAWoXGF9fuuXxok8erXsY1kFNlMTsFSzAMSu7Fq
y63bNYydRsgzR8696EgIXqDtXtgkHmxQMfQ9sC2r59QJyeeKv063G1tX1nfPYNa4o4KsdqPXB9eJ
0FAnzdGIve0AmHzrEQp0MnSjC4W3qjPSPEeMc5uOASUpTD4DojrGw+TNaI53C063KBRjhTd96pno
CNWBjEXWOJ9EJSIihgdeczEMSf/cVjYPUt6aTyBNwQv0fvPKnUlvu7wKrqicCGdu5wLSe0pg+BOC
JPSd6YDy1Qb/hCTNtMZrggK4CpWTRbJFHvRbdHbuM6au7lQsmZi2kTuScJaOGeabBBPBjtQdew/o
aL6z68W5rSyZt6G27H6hTG8JYFiCcXrlyC/YOmPd0EiygudO1skXlXL3dq5UNVkERU4kUBCLx7HH
2ewzQ5x2qICml7Luuwdsa4VNur0SL22aMS1sGF2ElqWEtxVAvE1wa6313cC1fJf0TfkIeTq6EZPj
P1VDge8VXFNkML53CKBAU8JY0xrzZjfQHbirBbJr9BTE1sVtzJwkykTehR2yRWefJrJHzKTIJA/F
5NubmAbSsktMEhstmsdqC2LJIpgVbOvsYztBgJaoW6XHdgJObRZnC0HH1kolZhXJISFrfFPauJob
Rqho22T+mM0GCm3TBB4Lx8KvX01TVfhaPKc8Lq0BSokgFn8Gj2P7J0OV8n3EsKYhNJnMro2ySK7t
3sePrajMoNtVlr5JCSt45CcFTt8IRL5AscUucoW6i3Fthy714g6FUHlTMDPaLU0nBDSPqX3iPFfT
fmQZ+qoZlj+zmPOLAk03mLv6FmkkkLIMcqbGOMvBkjRoBw1ZolfnJe8RPE18UgM+9xCLmR68zAJj
a40Vy8IYRTTRc2MZL7E16sfCVPi7FyjsmPPHANKFCXHla9p3qGfiwfNgp1oGfX5YktlFFtjDteHJ
5kHOExjNLhp9uYsAxj5pWKPf2niBh1smK+ArJZ8WFCFdHcy9RbKgnZYcYU+sCOg07hcnv4TiZSbX
tRlrQg1oy5/Wo4iTQ1c4fXA6G2tTbh4s3i4oGik0wDYzXnSkJtANcaQ64saraN9VEBw3uvPhEDto
TkPdLDH5jk5l4IPsM4WpG6wd8Qa1USK/1xDw4Y/P3kbMHhMG5AdotCZFFobqmpK/RS6nqJuabWPL
6IInST37ZKFcGLnykbmq8nQsx/xsAVtksM+J4kgjjR00r4b5SyktFr1YpvqSLEtZ7cqclXqpcird
GUlUu3E81/9WV0LcTTnU0RTuDqxQYFEwKwZfvc3DmNwonAzJNiV9bDeagb6UpbZIcwBt6xD086Wq
4zXeRdbpFq0nvmkOyzk9geWstCtAlv7Qnfm8ejuHT/5CQM3loJNoMzA8mjcLRI8/48grLt1o6PQO
0WgNPctJfcRXDXOaYxTPJrKtQUYvKCHBIw4Ya+dzhsKFtZFiTL6YDk7ysETfl23lNDHMbehhA0lI
5idnccQ9y29zPYHWO8TmNH+t2Z/PhR1PxHQUdvG1HKaAWhg3Hbnu5qrXGzM/NRmUWy2U+jlfeA0N
Uz3rAS2E6xuY7qfIvjb9jgAZZMNbyUz6weNFeoV5BW8AwVi6X5tlNsDJZitr2LobRVLLtwUoJvbA
tvO9bQCoEL59J+ybFLfqXV1bAyN9Oy/OW6h6X70hSd6WHLc4k9gWSaMFGpwblyXIJRiwI+Q7WSZ3
BWTEkXyarUa8sLukN8zekolli+CQiQwwtRRh3TcGgs+W7toV5IO63UKbcycQZRVMfsNRTH3UgKPB
KTpeAmbdGLezl9YOost6rL+QaQD5UJFRmGT4CtKym5M9hUG7oGs2/PFsTlwBbc5J9LadvUJsS1wl
+yaZSBAquRNoLWda243h4Pe05Wtr985ZleANxUdtIXeL6qA74ogU54NrfW1F1D7kk+P+KXM7KAiM
5DHDddGRkGTZFAkbFw/QmxRG1m6AriDNdlMPJYkj8HcOozPjU4WC34XJNGS8nTCSQB9oB2OuHBm+
70yIOTR0BnLrcZ277hfdtzxRJeERFEIr8oZ2tEXr00SMLBfJdskGb72pHBY363QRP6WqwsZqDO50
Rau/s0MTAQmYDqKaN5DzcdTmzJ1O0zY1/oxwoMhNSiIaik0lzW3j5T2zJbKEEJqkxnNsgEPZOt2c
ESHjsAoEdonozyJQ466SDek18dhQmyB90Q8oE/DJzwQsdSdzhGhvwyOAhifP8Lde0GZ2bs2qWOS+
0EIXm3QpWgWdg3SRXtj+NwydcLFhYkAiKULVNsHW6S2x98hw+UJDYk2fWajYVJRY6EvJpRjNWZE2
gdpjS37rAuvPMl5nzEJfmYtVPRZj7Ro2EsVFbtDOlXs3JVyIgEy0uyiRt1MT21dDBkIiFl4SliQ/
YR1fdR1TdYwDb8qA3Er3JmvwxGogEHu7U6hsg8hlyx2j6zny4FD6UD73UpWvwWJbX3gSnTedYsdR
I9Cejar94BoFkDrPkkkjHckK/3ax5rTemX2Q3BmzVV7Yg+b+8VI8Tq5muSoc4h4PssvmL5GLlaZT
eFfDdMHegK0r7iyUp83wFlANvroJDJ1NLbukpNGJiAHbjyXfHESiarvAhbt3Gxypm7qzXbCm2CYI
viFWL7Z5CmFe6SoJrWGGkmFAL26WtrzTC4vKpqmiZgjBWQKsjqoY4nXU95N9ZGo1yXDOp/nU5UGk
6EVoyzmAndbME2L6PBfeIttY1RaXJdU8CuslG80TTxUKF7tI75q8hc0zY1JYfNoVZA2tvtGW5Fdt
S/q1QeYYG68dNIagShDwU0Qj+/2cMqzyExHc19G4ICGOZipBNsqiBZeDMDqsrbaAuQdunJQfOvhd
iI2ZW+u79YPVl+WeROlc7Ia8Mc+mtT2+67sK9W4M8+LLPMigI+BpSL7nCI6TDTY3qqIKkAB6SmEC
mY2hIT2ag1Pc686U3yCx1EfgCMjaCCutnipOxjUpXCp7yYBhm3uOsd4VFozZ2jhGhR3Kjk3rLIhH
ykO8BTODnkpKfBc6clkcXAtjt1vX7Q1hDdm47bHcQ3YnyjAUg8Exp3OVeW37aWudFVKhzpqVa977
lXLAkRffq6WYfOTEMgGrafmR2IylkcVHD2/XqVCwN+oe8wcMMoBspxAgzNNIAbxnWfbyk35tiXdw
HZnJ5BDJPNfjmDdOTXZIbdc8wV1PMJNRZ9+E35lq4/ipdcYp2bvBx3BmycXc6LY+KfF0X05JTpiS
KMOew9eudjRIQrc4pDVUZduKbaAo4qrjBbjCeCFJauibLUwvk3MD5YfCbZGgsupzctEXDhYLkURE
ew4bIhdM0idVeqhaq7rRUAeuMVeQumpRNZISNquIy8xucV5XVroz0F2vYCuKiwnXO5OLbg9j9Uic
oLXNqC/jLtfXlVDmo1mVdscCCykWxsUXIELESKS2uB0FoKOgyea9V01XGBonHdreIEjPmoITyOsu
/pTGxqXvGVi9g6hNzxCNA2xTqVx2piqqS/JZgtNlJLdjW0cB2T8s3t9lB5eCbJc38svy63gc+00/
VsHXGiPWqQ/3+QnrSvxNsoFufW7QoIqav8Qd4Fw3aUTQCP/E3Lhe1n4vPNcGovOIAvEefZ2JCDOC
/KKD2bp3ygSCclRhX0MgePRFMj40fps/R4O5aCC7s/E2Dn7VPQOPK30KgHS091UkTZhZWa6RFLr2
FPapGxNdODTFNwOaDKOxhMpyTAI2sGyy0JBbsBX0vsB4tMlRU94wFZDZHnPcsB88PXLGWXkpBEZC
AOCYSaUQ5uue2cgm9TZOI1mopAbrFVIjdafN+7LT89G+9sIFxUwmcGSG02TwUIymvXhHD1uSixzQ
IWHMrju0hI0/AM13Kks89762vjdeakehawf5HMpOBifBGEzBkQDULt4SbEURrZ1CfJcxPN6UTs5Z
p1dEFfZWePlmQmE6WJl4VaVLfrIbIx2kLVAf+8FxbjGrwNqJJfaCMJIw/mNSaJB1NNgiN+m7sSNF
JYHJ493wIVbvx6BwgUBYoXrq380htTH1r4BYsYz8j3Q+/5/TXTtUk8xe/nV/9AuG9v+1+V7FL8WP
ArO//76/Ndcm8mlXIu33fR7TH4zw0vtDIhSjDgysdys8bdD/rbn2/6BRxBrFyAkd2Y8dUpsOKUli
tvRNHzqo7/5bfM/PQ1ARIG0DR8oQlE4sXcuPfUp/RVsWUsiDSoZ837JqbcYYjhlzQAmnZD754fZc
/9UA/bEh+7MwCB0d8jiXEdeKX3wfLf0wOspsEGcQAHwAJV18iO08++46bnszWlWzA/SHqDZa8EEg
e11rgnmUMIsTJtELC/JWj7bzkJM9NYa/+VyfBzrcB/RBKArQLEEs8D/1a5FJ4MKaSyTTdvHck4gR
WhpOqM/SYPfuaRAsiFILh+l3WnBQmC88NZinv/4Q/NwfhkrrZ0ANZ5sm4jvQBJ8+Qy45GUzZIA9N
ilo9yjvCb6y0vv/1Vf7hF3f5qh4y/4DBcrD++Q+/gM9N5pSVSXhcLHu5JvbUT48aaCkCnk7/5sb+
w3fyHJNvw+wWjNrn50vZyjJRgQSHoAIyNkn08dnQ2L+5yjoQ/dBtD2TAG7GOy02eYfuTbMCOcqvV
XuQfPDJ7Ny3NWAJUh9uxTF//7ZvHXrNO5Pk+DIU/XYijA3d0fXyj1MQsaGTU6EvLob66hhh6+X9w
MXrwKMHWOYr56WLTQAnnd65/IHHMBOGHJCEZ7TwsFzRClCHHX1/O/jzq5vljkoki02VFYJ36tBak
KNMW5ccUEwbeOzXWATTryLwtcGie1GWCp6JqxZ6qzz4udbYi2sroT1FABtLV1N5muVQHYjjGEHd8
ZAFPaJutcGSBdnFZrnu7KZtQJlXQnuBiTrdOWRIqp5qFbmGtW71t+sUKBy9jwmBm4kaVpbr59Xd8
1/t9flI8ZKvEWbIW//Q8ajqKGjQZcfBVYp9kniFP5tEzt/7oPRhMjRvkWTB54jffITPDtXP7Xseu
/M2t/qfnFXuL7eKZYUD22edC3qJbeVERHIpicE9Ip76sUChvKH3Eb4QTP1+JMRv7ByYNNAU//aYI
JDodZFhBfPim22ltedPke+5o6u5+c2uZqv30Gq4wFdguDqoF9NSflpYWcbzh21SjbjDau3w00qNi
xb9GNTbdCoMHwW77+5jOAYG+PfgsOsmwJeFU0AWrJ30MsL0cZh8fIL4XT9wNxCq+IMOXRy3AMxAK
N8x3Qde7530/1md5QhpZpaC9IYmDdLcvmNdvW3pbW+JvhxMzmOWxoXuzD1Q1H4yWdAilSHRzPJS4
/IUmXRGPuUJ00D05CDFptBcDSIIrFGUTlLSkE0AJJzuk/ZpeRWaZvQDpKk/cMdA7syBCF14kRMux
9U/ytvefSAVzr3Bbp5AOmYIbEdoUqHriVJp2dGGBCAvy3tkV9K9WfqaCR4IgGdJzc+/aqnmyh6p5
IaiNTkPClGOTzG20rQgt3SEumFfQYnFMzT67M8ymvZJmCS9iAj1AEPm0EBSrnfapmcbogoSP6DEJ
lpR8oVa+MpqZ6NWazlfsEF+qAhUTxJtaEPkI+gm20qVfJmFrpkfHNcojoRSAMtUY27eWJSlBHbpZ
Z6brdFcLblzaIIRvd63KD3wdmoAjk0jAEGTfrMkMuNzT1dpBStZ5MAT8mKCf1/gMOwLFPaA5IxxU
j98pmbgn2iHMHWAo9pnBumz7iNGa59jDCRkt3Rerq8ZHj+q/DUuv6cQGo3nwSNmGeM2rgv5BFqUL
CdokRKVtyVQRnkuLUaBqa03co2ksmwhhAFv/BmIaaMMMjOwQ5sSFHO2YiJtK8nvb3cjtG40OpIXI
Kb/5bVmERo5+buN5XxHFEdke2O5XJ2kBTktaFFdj3EIyJG+V68jBxE7N4kGYvXJnJegt6eBRd15f
PDoO+IqRQNXX1sv4Dn7k8cQHsGfuClw1HZ18TUAPJc5pCdK8YDL+tsTOzHiXfkAcmj2pvwdpN+SO
Zvkwn9vM8JD99aLmpKFnXiHGukmEKNheKHDo+tvln8jTicNBugRu1FXtiYIosHFi0mHHyMSsQiJn
uiG0MjjUtbGorZmXZSir6DIfJs76Ts3BYqosPm+iGShvmA6B8i1tkaBHJRfs3NaKdqTVniaBp87i
virvnEr32zyd9zjJknvbDKZdmhJw1/HZjtqoiR1q++AoPTDSbT0xxRYTz0exQP0BAjSIvQ8393F0
pH/mzO332oLYlw6c0xU9/ecgQi1HgUo0lmEptaFFakP3AWpGM9HTBwPJctgWOXefWIMLOZBrCLkj
OUkqJfmu9KSdLi1foPxllxmzo6N0VPSN5Cov4qSp9c2YQUgq+InviGExj2T1FDs9A2IyJnZhSlH1
CmS+vyEtfT4G2igPqiOauiV4dQ/CwKABDLBwpECcFss9gy6XEeI8aOKKM3czNqfQWeRZV8sWAMRC
SjYSZbmNsughnkf3rFVMvEnHts+U6oOXFEMmTFOv3xVx7NDCidRAVa6iI67MGvZyn+6QxfEqEK93
mubw5XGXjWFpe8lZ3IxPUoLZlLWZb9n15o0ehuGooqW66AtvHSa4egnrak0bgS9H7qVRZFt3yGoc
GRTejrdcdk6b7BgaLHd263cXzZKnf074AjdIl9CURqCT2zafrjt0pycZMatPDc66zZAvwQPDRjRD
asYKwbzwIg6ypwG946Hu1gi/KqJhJq6jorw1zbw4KZNSnOjByYGTZ5B+mS8WxAbua0fo74BlephJ
TQ71Tg6G9TQFrXPhFt0FBhmwHE0GWVSb89Z2Z4t0aceNmQMmxV4Vfh56Ra33tRs0QF3AKWeWAHGl
1HgbdU2V7pXLeJlAaJq8lfE2AUUvte/dUyQth6HFX+/VvMrCMg+WJbw1Z9a6IEITjr86dzLyoH3L
aBju2SjhourFqmtGpXzzVXgG/QfFhsv8nBl2mKSIo6FhM18atHPZ6iG6rUz4qD6zoDO6xBduPVZh
IA3sHI6Y9loP7TOdHlANM8MJMS/XcPdQa2hS2zZi0uKp8hNQC0U87/0WTjMkjZi4Q7cy0AHDJ28e
qMumG5tspyPgruigCK/eWiw2l2lJ1KPVGsFdwvf9qiB7qzCfCmKqCwapE8t5mwHoKAbA235bRyaA
HZWPOwG2nPFRsPjXBf7Zgt1qUV9GEpD+tA2boOQW0Qb2vwzkDzhltMx9t7zNdgqJKBX5RvvDS0m6
1gn/uIXuxdTtM1e5W3yh5DfNxS1rf2iy+MAhNbHfZXCsbCfIv9omljo7jkCfD8tC+1pjqCTEBuY9
xk80QLzGWp1BAKLDVriPI3LJEA7sg1NoMmXZ5K+FUUPHX6KMwFzwhzAghObJzTtQBb7b3qE2u/PT
DvgwAecboDTmse/A3U4z8ntyk5hjwTBilR8qGE947Q8jQM4DpFpxYEkB3qPIa6GRV2AwKu1r2lxp
WJlJBRnU7XYtAckR7UR4bawWUxfUb2xIwDXIbTsuaLQfYlzdZN5Nnv6uCtC1QD7xfEIUA0myBGT2
FB60ZQPBoSxq0iPS7q227fp0ggN851hBu1fmfJ0qoInz4sFmCBw69JZljI/AS+M3b8nVLuG3uWrl
bJ7AUyNyiLC328UrCMoro28qaIdLq8JEUKRBdSpktk52siE/TqM5rbxgAoxIONz1pXnTLnA3Oyex
94scAZxHzIE2MXGIp8QvAoSfbHNvOUO/mWxc2kQbYbiBPFOgFxwQVU85AZADFIhXe7KLszXDrN9X
PXckEFlxiCosU25SExeQiLPcHZ5m8uJR60+XU1F337yyGaDsOIh+AJhuORteDg4osSDquhenE96h
NNvxpPTmQ14bj1U0kxvJ2CbetQgH/4O7M9mRXDmz9KsUes8CZyMXvXH6HPM8bIiIjEwaJ6PROPPp
6/Pb3YB0q1BCA73qhQRJF8qMcCdt+M853zk3gNR3EpfmNhvC+gUAX38bC2gvNpvgEWXnrIitvPhU
VW8UFXRbSu/MT6umlZ374pR3c7RhCummrXZZm6liym4F88YHbAAq6WyN96V2rUuiGLYJg4zxfpbm
TV9AQ401XEsXWz11s7tGsm6vtKpC16J0uZkjRqLNehhjHPAXW0e3anHjrg6t3dScPnCwDwDBF+mW
yTZQDGpraTuY1Sut12B5BaacEmhgmB+BdfWnakAkoBbWPXqNIMfujOzC3uwf+zxYDxUV3EMs9l0T
CIqYFtjs9MdH57iZi62LYn1Eqhhnq962A+YVrlBbhX3kwFGe5vCMNHIoi/QgxzintBNen6mDX30b
pO+ihl+raXuxp4Vy0mI99rp9Wfou2nQkDHtreI0Kd7yXMGf5aD/injS4J61fUY6RyStvYNg8ZSM7
FP1Pd8gSv7Pyt5miERJzPjBgzp77cJC0Eeozmvp1HmAgcOHbVGjz15Wxrg1P0DVxlfKQTl70q5lF
sc/cGtJXliA+jgcvbOu31fthFFftI7d1Emcq6oR4frUZAtpeiY7kz0OTk6Lr1Ats0lda5PlX+1Xq
9HNuKGp0qg/fDforOOOIkZWB+VvLF+nGDJbr5ykqPpTbnnTvU/HUqVsvLPnZ3bHZhHrEGTCSh+4L
JFHXGootegnaSutS1DkRrQqrx4K36lQVEqnVPoXTsrWiNiDa4YC0J0TSFjI9Yigf71ScBdhtRPe7
r6qYoVlwKlOL5CjF9bCMaByop/S79AQXc677z33rQ8ziks8ri1Ptl6TNbF/j1qBhINhjfiN9UFb4
BdJJXo5SYbvzPax3ssL53c2K6kMnpj5TqRvXN3RaqJmzioYReyFoH6yMK0I3kSkYAoszDL9w4SLw
zYCvkal8tV0bvm/urQ3Ck3iih+7O96Y8CV3zOUIZ7HrO+QAaGhx2LlDxlDVfZxzovfhRrt6NV6Rv
JCtva6oQNmrmewcdbm8KUZmTlKtm01cvdg+J0kAocCkWfy8csMqOKHDONN/C8t/CCr15NezZi+74
0gjTaNcb7mHg1K8zw9DNAqb9aKbMOforTfca98VGt13xlY8D3dT0AbKkNMVZKOQsfBzWtq0nzrbC
fCpnGA9+GPKbAv0kFTfeBQ5Qbll7tKV71fBHwKC7y5uZ013oVfsFb9Teimc6AUAoKu4s+4L7z5mK
Lg5HYZMErrk3FElvAh2171JbwUHJlCLpdX1qh6zZp7pNgjG7jTge3nWtNexm1o6dH6c4uWMXkCeY
Z5AEjmlvVxewmsnncm+HXI6jC+GvLNbdAPNh7+YGfx/ouURM4fxMoTpXF6U5SxrUM4iDza+ZX+os
jKCBcOYrdZ1BH11pDQf2W5teUmmfsqZU57o9qmUtQFI27o0Nzx7BbChuSi/yX4nkhq/RHPxGJQU7
4yp8ZZVnv1VjRQm1U1hPWo/me+LZvqdyIbxZcg8hxPOsg+7leJjrWVKlEHe3wdARgGOMAzpICohr
uUGU4TSvOPd14gX3IZaGjPo4GycYTkRmfEnldTXmXKmHU1ej+mK4+VhajooZE69fNAXgImydBVMt
R6GeK/IhLgKPWXXBWamwh2PYqgBuH93v2vTLx7CSspoMHYa8vnu7w/hygZDupiKAdFBn831u40tZ
/VKfBTHZrerCB8kgKhlrvvF1ieOjOwbUzjFLKSEc0y+JN+QG+605EZneqXia9zEvOnep2lwBvB93
RW44V2Kiu4mngQOuIv0ZlM60HddUnjT63mGYMQnVVQ9XELfqbshLoO+BSy8Iwtw5jeKUmUvTbr2c
0zwXsCdMsN5nqQonCef+Bx8RIKASFr1Yq5t2lqCi8vWH67h5jEEFEcQxFmkY3GR7pzTjlWV3L64b
vPHXdmdl4pOk02sHEq7ZdP4C7RZUJi2xXU5RU2vkrWtbzIaUIWJUDzazoNpymDrmIS4vmppU0+g9
RaJ0+XLp89+GzDhbHkH9NhZs02mJpBmpgT5f2XC3WgrYIswq1Iu2phi3oNRfmGK8xxzQ2r3btt5O
Eg6mW2zNzT0+nG/sB/Ej8zig05YHtczXTTJhB0n6WCAI0yJ2XXbKXEPhLHdhPJencVaMRNs03LVW
Ux8sWgcT3UUKRdvJz4tcIAkHphGbyGkgvaj1c+p8+5ih7L1L4jCbqigME47wW8wNwjSWb9DaTrbr
ak/fVR5enBJa3jVqH+6v2CtOPH4PxHKAfhuVtcc58+R1NipMjU2TX7kjeVxSNExUr6p5ABvpD974
sBS2/zMWE33f1louh3ESXpR44SreHRo9yx0dy3OwM4PM/zQ8ZCLx9FLoa5n1y/Na01RKdSlglh3U
9N7f+pRVvk9hMCCKT9z01n59tt3MPxAQZHdc6D5HNXkqwoE1Mzblrzpt5b6InAuOe4ZbosIuoaQt
eElLdVX2I6Y7x5wx32IuKdk7eFer9UaZOt4VAnDAxhfUcGykahE6RdW88heZF4D8zTsdat6d09S3
NMKU+0JpATqH1ujKmSTLXNSrD91o79wHtUsmVTTLljqu9OgE6fgytcv6VKZj+5zTbnNj17G9myy8
AzYsnc1iFUzZu0pXR0fHCP+9yIdtC4ISKN7isCbWNvuv1VTRxfhLiW8mLi0YAsv5xpeXitx+SPct
MR2w6C1RvrJkM7jYfS0NSKar9lY66a+wBK50+U7KZ8H6czvU0fDbqMDCTcFl8jDwUUfX7N+y3Oeu
eUxxHthO+Ug+qz7Eo5yTgPnlRlP0djNRl+JnTkDmlp8H02gIHJ42tLgVmzydkm5MWXjREfZWMGGB
AkZ0EGO21Tmk3iH0k9jCOU7LfaBR+NvyJsiwoJVt9yqwIkuo+x5sSNo6v0KuUsd4jNzEmLTfTTHO
WLH2wyNXypT3v6Y2mz6kHSx2fir89/h6ON0Ew7yz4BMfGH38UF7sn3Cwr/RRTq/DIo8ttTAHJrXO
BmaMfd/BqdsB5rBhUMDyr4hLUDhESyY2h/bsRfljSDXIrhnHc+rbFCrztOBcZioM5CgdbkRXuN9z
I4gN1kVd452xF3HojY1TGBB2f+ULqBmCbCVmG4MPJyxgTw+Lq98Yf+gHFXX9YzZF/TuA8+KOT557
MaO7vTMaccdZbkrCNov2NW/f1h7d373MzJFow3wX0MlFc3Jcpd/MYDnhMy/XV8rLeviYrHngozqC
MfuhVBZAvqzVBZieuO//wH7EDm476YorepqRHetA4YbqPB2/sJcOwcXgzTQrWCgP4cKRGlLO8UIO
3dQ2kmrUU0PSiPqmp3X9pQxHWttl1F53GbaC1L4oLimevEXrSxMUYATZ8KcPU/cYYH4/1BpqEGMR
wR/dxYwvOiZ6gRAzQ3TOspih59at7nTJMi0hp6L0zIkysDS1P96lVbWFIU1ZkVfsuAHRK2/0n2E1
L6qf4xc1T3gNu2wpxCZTXb0VzvpODcIbvUDYHvvS3VPlBd/oYl/UPSUOS56fs4aZEILOKaty67Wb
YJbE8GMvY3f6DSStBHQkbetaXkq1uHW1WVAcSSxxmR19i8ELeZgTJ1i6WHMDUXJv9+yKONlIjDPa
mUBhmYvz3e+m4YLplcO6QVWxbul0W5q9bdXMcZhoyKdLmJjEORAG0J3Nrs+lfgpH0v4wF0Ia2alq
RaVm4BFSSzG4PTYo5VNCJXDq2pluj6bMuEQabisESFPfnC3PpU1iIQizL6OOWp+MsaY9ifCd32vd
90uNaacdSHV464jlnBtLdZ/aWcPgZm29H6oEOfRaGtSGjpXjQmJsL67xy2JZYhUtNqWXen/8sLx4
ROFLHAo0BLY35iVvwVyK936R4hpFqrmpsAg8InyKU+gCZLaDLNM48/9y+Vk+yNO+6uKPkcIWDjJW
rU42O5zNs01qhGk/QztYobxbxdgA37Yc3/ntK997GXiFX1O70H9KgbVs08ddfada20ViaAt73bSx
X/60VmCD/Vxmmg+DnCpwWpq2pbQ69p0m/FwgENwFuqi+K7FSbl5k2d0wN/77YHkYgrohq7+KIF7P
GmLtuFFTzBiiIhQCV7Q2WDt1EzzFDZ76pKl956vDtXmcTD/SGxnJ8L60U6YRUdtl9yCime1Kij9l
mr/aUNn+NArDHiJS+kZZVfNh8e7vrI5PvuDjLE8hJ0nyZfn6hv9YvqvM5dWkM7n/cI0VfjEF9j+r
bumSUcM4Tj0KMPyOI/zqjYKGLd85a8snVQ2eYYfZZ/5D7p4+DOY2ibJ9H755hGl3oZj31QpqefKI
LNyYaYo/CsctE9za0DiXKMecNxS49aweVHtjUizpOMA3XVO1HxFdbeeVszaH6rWib5ED4Kbv6k6S
vg2e2bzU71ENzX2ojH1AbLC8TRCYbMcxr8AUbH3mjHsaLMosyPwn4kPALg4jMOVbfBzEllj2253X
6PoeuYwc+Jwx7wpy8Lwb5daauuOJBupyqbDKgrKuEt/tihu3n6qTPy3RCVd7f879Rv/A/EIYbJze
a5PCEdW6caMcCno82fa2L+vmhgUj0ls/55tz4T82B67Js5uMbsstuqmpldkpeBqcs0Ph/nIKMz0w
sJ7uCYm3T8Eomt/4QqsbZavyvA5p+IcoY3ST9lpfZ9jgoR05o/cnGHoKn93yUgZF8ulDYT15L4zp
BN5aYUJgqy2E2GXy8e7RPBoeeVTjLZY7/7kLWqfY4ERbgduknf1omd5/zURd/6jMvDoxU1HVcSIZ
F43pWFQZjnYvaMv7dZiWr7qLJdR9ZqcD5yloq4LR+3rsAPmcg3js6j3XAD7kQY8cMKxQr/a5kC3B
QGrvSBWQ3shvl7knhRKgurJGZDiPPfJlV6SAjQBXTFXotIL7o4hmrKvEjdhs3K5EiNaRZd+MrT8j
W6nBvbUHwcBO9P2SBKHIvrCepSVe2e4dAqMutlDA5QkfffMo+aKiPWZj/4WOKbPs7LoVwDYmAEdx
Xi+/gE9NDFcqSrOOWtS4+FCMaSDlaS468EfsmZvedHOYiFiFn0MTh3KjOfJfZak3vYT9ZWeLw+mQ
rRZTe0s58TkTy7chdb5BOZ5gPnoN7wlnJH4DxASH5qumZctljj2j44iPrKI41mRTysiyh1UdLlhF
HOeabgtM4CbyTXjwADyBoGWC7WJtNwgeHv/g2cFvN0CX8x2105lXo3Q4oul3vswZnXVO8SvFoHoS
OPbdpMp6SgIEqTrKKNP2l1kEkYnZd9j+kW6Wq7K0qsSe+vAdlDDbR5FxeatNWl+4JKX3U1RArPHm
Ki644CYOy1irg1eOYVIV/UIJOiIQj6Q6kR1EKCOKEt+HdIRg2/UHdhNIPL/WQlMmpV3LvBVC1ttp
5DTRSP3HG534KqBg61zgtrqfVg/iEb92d15MZ26WZbC2aLXc8ReS9CGl7hZq34G7TSO33Jr1nzYa
Pcz8VZHfyyi4q9B9Dy65smdZ1xTNup01Hwu4xeMe3V6Sq/G/AgIYj1ZY+L+skNGOoy5tuE7zMwRe
8eIJWdnHdWpihr9++w72UF1bWePcVrqxHjPC8v/CiPGfLS+x7eOCYuN2/cD3L/aJfzBDydIWEL3b
6HKnRzzlxnwvwkbeVb2mixJt1r4bCaS9gGphK/3vDRP+f2WXwIKCCgopDuPN3/w9q2uFwJrn6LCE
WX8Xh9ocR9OhItjI9t5EG0HKnQxh3C7Gn2llSzHDgPd8LJ3NwDdb6o6e+ahm2KntPKkUApOaQ28/
cYy/+Fqde5VRZrFxa/iuDFCD9WhCvzlPfrHewI+77VyyClPAbNDDqQV4aCpp9pg4AbPX0wbRDKV7
qOcSFzzuoG2IgXozGJiR9hQ8Ez5BGZsW555SvF8FPNCEtExP0IUFv2gI9wHouFil5sj7Fx+de+Gf
/LONJ46Z2VI05blMB8XfnCY1jxIfn89pHQ8l9wb73vfnpYE9TKOWg2VpWvBmgM5kV1qG5Qqa+rKP
K+zXPEwtBqYtONMYKCiph2gz1OGO+PN4sptOQvS3rmZ74L5blRyAvaI40uf1r4h0f+Fl/v4rBAha
0AUd/AzRxTn3D49ezl6ix9jEB9vogitOPK5VEhEmuFqt/hFEebgd2ZyThVbQMxH74TeK13Ay9sWt
x8AtcBTA045sQ6TwbfyLZ/O/+HwDGG48lyLGn/q3z5dQhxU6tJIdSodBFVJkFl/bqTL/4q9x/lNA
H8teTMHC5RVgaf+L0fMPH4JGMPa7VMcH5M+lZPsWNPFMZsCbXYXfLhd41shSJ4oYyDYFVvNIE2M3
bxmMl1d4duK7aolKbDO8LJqQ+B1EU5uW73S1CE3Zz7ovu9f//qNx/m5pZL22nQD6x4X7yOznbzZN
uL0rAwmevbFzWRRWl5yosBkOFinZQub+/mtc3jV23nxUK9Mz9B87kWMlz4u/hFvMDMtPUMTz9V8/
1/9rPMX/dyZtBwjofwuxuPn6kcvXv92br5/fnfxHn/b//r/+L5925P47pljYjfjX7ABv9T+RLDBo
X3AVF8CFyybxf2za4b9H/B/wTfqsRs6Ff/1vXTP08n/+D2zaYJVgrkMOguTEmOL/BmThuH8hKv9p
vXCwthIZBWcBXc0L/vZK5g6iACfAbj9Xg0RPMyR4nc7IO4uuvVcZ9M5bxDSiosBMVNc54U3nHCnd
n6IpL56U7+Z3hiAzkcJp8X/wd8fPq+pjfUibzA2vSXUM8hWzQrrg7mmiVyiIyJuamsXZopqD0tLH
lsjWi2DelPRyGO+0sl+J0s0W6aPpOQ90/ZytSrGX01xiMMtBptYRafpVnmjkHu5rvAV4yUQwN0zW
+londMauSe8uqCjB0tnE7cjWRrYz2QmZwuUhHtJx2cA4qpqza9pHtrd6fRzjrvFOoVzrJ21H5DkY
f49POOlqwjH+RKge4cpHefVdOZ7crBqJA7Pc/qCaD4z2kH456TAt6a+HWcXxmQYvISA+4OB4YB3S
P5gROMtkTHlHTpJZ/NNQtva9Ojg/ji7yeL3rhVeCi5gsqkTimDS2xRW7vsN2rabzagXjnz4VPbAq
WbeflTs4z03oXg6RafSARyVARS8YiaNicPeT2sZdHoXfkOz98eSFXGk2ELGptKYGjBuynDUI2NHg
uS0yP09Sx+f2Fi/2s981+cdA0eLP0FqGw1onboEOLmLX4THapRL7aoJKPl0JSAUHRZYSJ1xgKBjj
eAzxg6YFSpdb/FdtrgHoXFqXMqfPrr2KHPcnPVjhI1R1iwmorejZNhGwaKuiyX2FVLDRlNVgXPXo
89ED1eRVFsotcUz0Kb/EF4GvAQwJJ9trX5W/hpqnBU5pSW1Z3cC7oCj1iTFbRhZ5JfhX8XsThw6T
wlodeqj8ufmym5mZcD5QclXV0ZtviEMnjt2V3qfU5JpBK4yJGOZvDyoVHILROhZzkG0Zh+QHu1h7
ue3rmKq1vn7UQPRgfRj6eYMleGD2F38YU+U3GTYKJJtllQd8nBEpHReCRWlbwMbNPAyIrcFME2ue
QVnH2VtzELKVZCpZVDOhQ1kV+twpNCkRreAQFnqM4HkzzCqUeoyAYe7oLfZBiBb4mAgvPVe+P37g
PFJ0dZBGSwD7BjIZxw4WS9SkkXfEF7R+cd0f5NsA5yLHEyIFd2kZcl6YHcjZJ1uggGHrWpnoN7Wd
U1HNBSxjHDzKd4TXGUiWk/UNJioxztftAkSLMe7FbG1Hrif3Pq02Lcww6v46kztio0MTfnirMAzO
okxYVGnVg/92CWlYtxQVSbOnwFMOe8Q6Js3+ZRNMQBB7wX5a5sXeFjNfNNU+Kih5191Mzbc+U/Dh
Jh0JIyYOE5/6iWOvrx5lNJU0pAugt289T1e0sUUFQIr+54gg9iRtdv4lZmREIwpJKZn3z3ZRBSdO
LFn7VHJ7jna51cfF74lb9DXFrxCMvUCHarOsTvVq+EHdxG+K8nc19bHZeSnth5tLbhRbUCAuxVmU
++E2jiyOv2pwUsxza/XHxEWb1KE3Zbu00GV34snERKNzF/5VbPwHUrnqVqkg+AmtWblHkMNxfh78
wHxz6jT4AJlRb8nWzSOYnzhnkZjdFxX6zgt3dCKOdskYvippOQhs3YJtizSg4IBAdbI6ccABlfZw
KBqSFpYNC6SgZasY2ibhV6y3Tq7hx6NnQcao5hK0cKHM9DFymr0Z4Z+8NdxcwR1wPAdJ4JYIcB6Q
GwOdjOIzN7O2OI8mPAP9dMOkP75PcWfDDCgkZBkrnB+CeUCMkjDu6lFJP5lg7WRJqWixS1vMj9Bg
ZueEkp1f9f2ECGGZ9tlRrvcGDZ0CPENAeFVxSKB1IvBas0XWu9my7e85w/FCwchc7LLcylYECQri
7GWIr3XT00BH8hu3EYw7WDVK31l9M3zBQZg/ofygFkuHedswFnvbjOkju2UeHVpHdM8NTZLfLeHC
H0g90/Nk6mlPGdJTzLI0byYGuN1Ojs1TQai9wE4j9RnnIisvKIns6NStt62hcRwYW4PKD/x+9BLO
aTQNRdXFHdxV4UcmFF/rAAvjqgyX6E/MVGijcq4+0D6xi/Z9/SlEDYmnCWx3OtrugNt7rKItNIbm
iCzT7AxVirdB12JqaJveKfYLTHkW14yMYZNb19jLLo3mKnP09UKnpt52ZqVSqZouRXBzfUEPjZQv
an8YOR0j06GDRqhni93nn4Fl+Q/jsHg3RVvGd9QLIyJjjPvF1myu1zjrPooRoXgz0aJx1nOZ0SxU
F/wsCwtV4M3msc5d/nuPyf2On6X/xMhsv5bolHQoT8366F6mPXmw6H6bhgw9RPEb31X1EgoU/iml
z4Bm5EF92Ku9gk3umTmbPkDF9ottznQP3M96jzc9uuXkQiAoVjWEB2BJbWzl8sRFUm6QysyujJuR
903M3tax8/DBRpvA6jPEy4MzWKt+Ul1lnV2/MZ+uo3jAMn/ghpo2LX1+k2nGCYpG13/Tv+R/Mu0f
H+YqDr1TIFX53lDlmd0tfo/mbxe++sZl3/9KvQqZALM8HU4dRWxk98nEFdAHR/EU+wvABC+oxFlH
oLI2MF749+Uv9Z4/jcXMtoQYsW/lNIa4Lf+QyrzgwS9cjBtTx8rMl+u8AmhS/a6HgEKPpQzqLT3H
YD10MOeHZZ36P9grASJSYMIO5snhDwUm46maAn09hUacAyvXD2XToJ11YmklBtexeKlUqw6yrbur
XKb2wQ7TkNpkBMmNY/IKpECFKyAOuTImTEzHLhFENGgTk/xDRi34sk1Rd5AtFm/9amNV0NA6e8tX
vljpr76bBfJ9N6qMN9ZHXqDFgbixY+H95otvL2DhgplmW2sFB0N06q4FlfzIwVRu5zxzq42fRygK
JASA1PBnZge625vPmHAA7xvWcSwP1GRg/x2ZPwSt/lBNT2lovkCpg5sVXPlIol/eMHR0rprBcMCz
0qusaZ1gox2i54Tb5C5jzVySgs66tz7K2l+r3WC4wfYW3OYyANEYD034KJtlvoBo1HMTD/xsxjTE
2iPsAcDuczJALQ78netnzT2r/rJFFyfuwWEH5YUhcvaSOtVl3cF973duPCbclvHmGdxW5ZbKE1XD
QFzazygv2GoiK17vkH0Cf6uHefjq+ybYCVl0TVK3ZXnnIe36GzHVVFMAubEvw0ox3/TGGfykIz/9
kq19/By3uowSbgJQ4hZpY4qYFWlmMfu0zQWjfCrnIb7H0+VVOxaYCJSZxfYxM8ID4MPOzEBoCc6y
wsrLPKiPcANeqghL0ugLZkLATnYej4eg732kMceIB4b/Fg4GNblPNAborQ6z4VWuff4EVpkCPEol
y42E+vJQwWMb93a8Bh1HEgtxCOp8uFxiJOHTGMY5bYaoRBuc+ctd4LU4A7LZe2w1C/URi1cGowsP
2i4YA+uHFY9OzaoL9+4SFb/RRPSWo1DwQua6cSgotMJHG238s1kB2iSxZN4IFhqhDqxxfJZhIz5K
Ma73tW2s7yaqiyd7kQaTRNfXV2RpxB9UqVxfr1nXINZ1Qf3j+XP/uk7zcmQ+PF4JYAb51qeHDU6n
GAu1D6ngW7Y5Aya06rYOj4SBrJcwwym2qzrdHeweD2AtDUPtJbexQQd0iTCAMug4LtVFRCxoV/Wr
cXlbqRLC9FkAfBZYxqi0hxeyL51GU/dc4lknnWEoVM3yqznr7JNTD++z3eMKyJp8u+Z0ouV4Cj/T
xr5cpkJ9nqUXnXKjWXn8zH/IJwH3cHFpn82XCX2IxQt6hHxlyhltfOPiZuqpJHK7+E+Dst6FnjnN
WKt3LRLy3gctf4joNyTquKS/U9Bcd8AHWf8o3i2QF7gdWr1/aOpeHiaOCP7WZWZ1m8VNcz+rQJ7a
QmMFojbs6HRTedVmYvg1ERd6EDTpkXkYORph6GyeCb9n+xA8wREXV/bJcabDtCwfc8XS3A38oMsq
YCO0JTLJ2KRXOhjzg46xjs8ZLk/wN+zUFg7SKZ9+cXvo4d5GJYIFnFRU6Kn/KVtlT7tiqqKLjTL6
LFroEXhYw/488YAkVFLjGgfcw2ERr3fclePXGrU/q7Y4W1V+etlOuY1piQ0vXIwBm+WuB65AgGml
5FabQ6a5waahdlIEHtVP1rgxGfiDnOjLA3rZEiGdz+YqbMv+2tZS06imWwyUgbHxCwSUQmA5ufaa
9JnH/iH0s6txHpB9Jx8wE2nsKKhWdDhmTJ1DSy5fJ6pmmZHYbtdC3kirZyBYLEP1CgVKvtlZGCfc
PsOBDbZ9Ce1+/so13q5wdSlStMO+uFlQx44h6uSpSUmhHuhf9lneQBZ8MLa+Y8BMLSZOqEPa9ccB
GC0nwEEp7mnegDXMkE0rg+C9W5rxW6/dTS0r+iWrAp+wY6Pa5fRpf8NZsr8zjhsJRKJmzzg2uuGg
t14RMO1ui2ocnmrJ3+3haSV45Q77tsqqlkfUCk71Wru3VF5Mz73gbL50xOc2A5jpD7AUwbnH9LpT
NQbgfvG670jB+KtiMV8FVGM/0eSKvBL19n5iksfsO/T3nuWEbxjK4nKjdJaN29GMq73jNHIPCFe0
u3psiUI3g1Nj62oDMhTloGAgugIfxOS0Mgm5tXEbtjz9CQvGQXFDGPlDB0EvnkVGxjlxXKW4mfRg
mXt2kx9DfxE15FWNHrLm6nPODOOJwXMBDAoL/9p9XWg08nxsOH6X9T0gCvfzMoS9c4vK+ekKq4FW
5Fc1tZN8D6eB280+RBgFI7/O+WvZzhOG4Ei7UHF0pxTesDZCoQKIwhy7Xd9HqYOTYAJ0mofO5b4w
e+oe1JMbEoOrxq8ssBws46uA2jLOIQEVn0BX0qveenK6Bcl3Gv2E/UU/yUr0Xy4VzBurc+qjG+Sf
pmjkldd1PbWtQ0a1ycSchXtdhR8nbYLnViz9sVOr595k80IHlKdMYXZu5644cuwaX5E3WwUWvgsg
6bVoc9c+oEICL8NRcTkyZtfTpPf5ZAo+iD7GooGmulIPSZP9H23Pw220+umbPdeCbtjFSzHj96J4
z1VuzkxwFG3PRQtJyQXQfLZE4eHLTvv1SfXOGF7jIe27q0bO5bxdCZTu8smakoWpxKH3xEdct9jR
Wq5vCIM2nrRlze0pIc2/3nDpNJ+xYscirQN+pMQyQ7TEs551lEbXVrh2CUdIOjqGZvzklcvNLUt+
SNprqIs7J/X8X1UxRG9MZiBHsR9xkta4ejHD3Qaxbn9RNZXxMsWZdz2Tbt07sax+Ckwf6bElmxEz
fjDAOp0VotKGLnITcOJjYAAJxTV9EuopcLYgKKcbsNnd5Vo4ZMwjKpBpYN9xpW9Z18moaZ1NAZwu
4DlXlcTMscmRgDkOF3K5WKbq3jt23MSKPSaFCO1fjPbWlEEvEt/o4d1L28tRGdQ3e05XVc8l48AA
zms13CmuL/yvtWFxJ6SfhRv26TI8t5BXvjKr8xG3ZAbyFswRJxy2qEWAPcJKV8/nKdbhd1k5+i2s
neh9DZWasWxJ676JKm+BZ4TinEwQxujewH+0z6vBnDiJV7TE6rJK0mXouN5hOqGFpug19ikZZZ9+
u+iDCofwFqpN5HPpqgmc9fABAWBEwa+Q+Qed3C7FHKFflfiHOPO8F53VmYMT0vpXtKF3X6MVHKsa
qgtPsFdRgF61xyn14JJJw90jIW2LKcsxobp2igu1qGtrXpLaK329G+uGhrHUra0Rh06f1vpUxNjX
dkPtFIdyFP5MtjadP8aQCxa/SdRhlhPQOEPgfvzW4oL1c8t+xYIXLwzQCKSmX0MlnedIRLCp/D4K
OSfQH3dFJx6YpiwYiy+3G1bmFvlsOfuFzJGV1CMk5HMsaEIo1MCli8czpMAjm0WAGGrPYOEAVh5q
5YZnBiLiP9g7jybJkfTa/hUa92iDdAALLhgCoVPL2sBSVEE4hDs08OvfiZqmjbA3Rs6GK27aZror
RUVGwj//7r3nZlEVOBWoXbP4BiVrX0BRhTmFQr3Tr2C2NuI2w279okMvf9WjOWBXmMmqrkZw6WIt
EfDBiLk9cSeEx+rYzUQTUf8DPaz6IQmfyqzhNj/ZPH5mYeWf8Tx27EFsW9tnnhPojHCwFG9Q6ZXW
IZh0U2GACwfnNJZDv8Cmn/yvxuub50LYlClKNNByJW1Wequs82kxTAW7R+4CuPBk38CgA+jkJB+T
n/mnyW7YlWZhHtzkU4ZXzOf5yQObzjmqgXj+LxtZgTLaeFUH46fAqw6tNO21STHOoG7obpiI+YI4
exckPDeLr/t3fpMa+9yg5+0ShQn+rMiBeNf0Awxzw2mTbyKVeRoRkcivFtAKuCfHEs+VqZqK8jl3
Bho/wpqwotkTw8aMb5ARM0Q4kjMgPmTYLTS5QZnzea4MkrHcIo0EH96k4aQVdZFvbWKI93CdpNqB
sK2gqVECTvqb3/ktUZv4Mk54U9dNRxIAJAxuklGWV8qbSdMeRli+B0IxU2QA+ezP8+hRR2NcdbF1
MSv2aOQGWCa1vuA5sKRhcNMuHdN9wcnGFQxU6ibOr2mXACMjadAg+V0mnLAsmmu+4cSY2vjS9iAS
oqK0fg3SCB5o/7PYPOawW12j7qaNmebYX7wUh+7KKFRTbVsem4RJOm3cJ1w1ghc7W+ZtIoaMC0ze
aQ4Xi5Y/rvVu9ovwyfyjYCDzMM/b2QNbXLfiNfY07n0/e5DQjvd+gIAQpXLyX1TWU6g8D8lLXqZM
0hjx8rtCF5QKOvG2znxfHnIOkW2M7w+4bjfEm34iDYqgY3zXmZqf8iLEUpHWJAxWPo/d+VRwFJLa
J8OOFI8TACX7ussmDP3FMNd8mnlQPi/m1JAxU0AAuKylR8NCbFp3tGrqVRf3zsoRAuJYWrg/LUOP
ZK1nhwhyok+sdFyCEriCW3O2rxC+2rFWiz8ue3yJyUOnR/UQL9hF0lxSB5faif3Y6JZnNk6Y7kkC
Np9Oqe5VtLBfSaJl9Id0XRotmyiLNP4SxVjMs33A2xe0dD04V2E9HQlXA/Sco2WxhuWsALOLfUs8
AXkm7QKyXNK2DhgPHzEs4WWZrPkD+93WMdx6o0zqwgK9FOMXggwusFDbb8xkk8fZlqfiUXI1IRon
AxI8jUieGqwVT8yi8G9NPFPG2kSKAsogtX4Vvln/wmDNLOo07AHWQWuWP7GdBXIdOEBsKzGx7Nd9
pteLPdEaRRkkEYuyEeX/QbR+Vl1GBmBWP//j3z++y6y69pI22Vf3dyIrQTJgRg4Wjn8O0nr6WXxA
0ao+/slH/inRWn84Nn4PIg58PrK+f5Vor7wsWFgBq13E+d+le39qtFb4B74CPwQ25dEAZwYIp39q
tBYALuda44iwS6CJ+uN/RaPlM/6ja8LzHBRankQuWC3X/oe6AZBZWevklHS0ZvfAeZXtyw5TYp1Q
bRga5fgzD8BE86gOAQfS2ucjh3J9FM5e0JIehWyNzO1AqTZnqDV692xcu8ha4urQAW2BjyCnG4Li
4uKgzByMOKyjLog9rhdxTR/dlKMg8Fz5bKHbtRdiHxjNmikTb8SU05dOVe1F1wTdNjyispiBywxO
/rSwNRhHAupT4oGjzelFYoYdyTH2LpdYrxq/YAA327kKToEchzd0zIHUgbL5pQLDuazYprjcroIs
0mxl4fg3bnMY2zp/rkrfRcPRgkYXu5iIChpuYGB8DJPyVk4unVW5ywnOFSr0Ln0cZNVuMn3vGQ/q
8B4i7s7wTbLuoMI8fmK/zboYMD1Z70yL9GaWDZuN3piYKTpWQLe4loYX0hMZx3mTAedE3VkNiCDW
bA37jEXEV22W5Q8DFrBmo9+2t52cjHQzVjx4wS57GJVH59w5jO+p9M03o65QWiEjDodZDwAi4qTa
Nk4CT3EueMETMV2/8cKJlOR772my9eqg2de9XZ85BruUZ31RfYqe+xfYHQDWmFttvkm8JSuWu/VO
mrl1a5chaH/ps2CK6zwp8KE7HUBRgaVOBDS8zFZDEDoONkM7HuFCmVu7t9nEAPV+6KfMWI15Mlir
SS/VuTRgwq+zfhk/4Mjkx3H2R3IY930er6CjGzvBrLdNCp+1U0MB1tTCKjehR4RLI/a+UWYvqq07
mr8MfbLIuDwYhl+uSyasW/xCNASXRMCNbnRu01Ca2yKADir60jzxE40PttFqUhHS/KGXZTmm1PDc
1U7FviHnjdrUo//ZyWqKUHXag6ztdM8w96QRJcewqfF29+kdJHmIkmGjnhUrkSjpA/cjs65WLhNQ
QOIghQvAA7hw21fTVO8lbOKrVICeqIeXNhyw8ld9V7lbP8ROXkIXYmd1p2xr3afeUaiIBrgRmHiB
qjGR4eGU6ylVwwG8Nm2bnhvVJtkTvwf+hVuueAilJ6q92U35saBs4K2ln47VVV7LDaeqAyK/hJS8
UtPVFJo115YAbht7bi3ejcnL166mjvQHFLPsUIYOJ1RZC/eF0kf3xiuRe8ljcqwSJgBU6o/ZL3Mo
FLbYkqT4PMXtJxXTsKR76LKQWi0SkF3GgyIRZgPM3xPzXYod+t6lMx3bakwrDyby5E4x9tmbuUuy
hykIsJ+O8zUfE4rh/Rr7ucky2pRm1Nob7gcZ/SQOS9OURpENixnrIYT6sUfRdsIr3HV4Cq4yZl/6
bGxZlH6GRVY+zZ1dN3v0cveT93f2KxUDRYfY3jSh+dlOPyhAIvisISxXqzj1/dvc1dV2NsGUrJy8
dChwqnO9IwaDixzff7pTBGNuU5k7T0Npk+5rPPsRWLNzbgyWvCteFHGXZuxoNrbQAK+bjgBab/bJ
7TLm1v3QJNgox6w7d6kqv3LewvxUY8d+gafZnQtJyDAmP0EEXgBZzYsALbdcGFGbuQJwDf/4JGJl
7UMql06eNeRnK5Do2YHn4S5pDMt6YlV9xTKJwtjy++vf+LIr74MmMR9cbiyIzJZw0iPCtf+Mb8F0
1j2mjq9xqRlTSvDKvqnQmBtPc48LjvmVLM6USnZxFU5DAyOilrusHHW7lVmQHuEHpHuiKjcmYppB
S4JnbJSDkJmGnbWfAqsEnwtKAUhSvWXIgZjDP1bWuFSPLUEQrP4E2K0svB3yLLnA4Aq+pBNmlzGJ
ZWTRaHHUpCFOiSjtvd955qdcSIANgzcRXYwx6JSeT7XnzM/QTvALkQ/bFEjSa55F1amaZ/oNaq8f
tzjcP622qLd0mjfwpCrxaqSaBW//SqRO7fjVB+sMPjnV9NgauRy+Mdv8zMkcbUVrkLSlp2E91GAE
CmgfmYFrwus9smJWdotfkLt5LIx72hL8Pezn6pAY8dFMGg98tZjMbVcY89sM1wV9Dvr6vR1jI6Uu
x1DbxrU3S1WQavSnqPSGIMII/VYwHB8K1bGrarLP3BjGAlHRxjKrwl5uMNCwbjX7hf4yOkEerMHN
L9NgqCiQqrtpbPtEn9uPflJ7mkZwALYoIu3U9nAdJusmqO2z5TJPY7pGyFkJsqioFCGEk9rv85Pt
gG5etWrBRzMBhdtlKUrFqq/dcqed/AiUvc/XsTfrmc0UJrWNFRALIr0+KvzCxUc5F+VRFKJ/dwrV
hmvS6dkln7uBXLil8VQ5hn7QHZGPRVMejTU8YE5gt4xSkcgyssvm2pgGCHshS/Oz7MAtbDniPZKh
qkuvWgslZmoExkbQqOUcyOy2ZilvI4PTM5uLr6pu+1tfdOMtoRK8ARWCt0/F0Ar417wu2PrVdXDL
Xwv5J/Hm/MlpTe2s47Ab4c3H4/QSx+k3+YDxffHoJRq7C/sZ+qBbndOKEuuHTLCzrjuvdOhhb0mc
OciaZp7Y92RFlncopkTV/WI65g4YGxbUUBkx1s9r4GbjxQ+k99naMv6BlKJX2JumLYFasSpLw48a
RzXPtT9AaxcFQo7fHkWDXQ0WYPLCZkFd44reL3itBF8HV0U2AVfuKAW9MgB4yfyRTb9GJlXDYklV
eKqxmld3nAHjri8kCVePrgubgewlY8F6nDDGH7UdJBtHa/OgSq/jQPK98zKQj18HdhYc2BxxuwU/
82Vrz9wHSddu4DEh45W4+Dal5e1k6u0ghjzPguhD52Ub3xtZbznNhhUAsQOg+fQA6p67Otuksfnp
uCCBvJq3opzE1ja5dvMg3pQdsAJXGBthz/eGo+kHqZEEpJq9fVbG9YfH84wdGyOF15ZNtsVwHKku
qzlhuOvmTRDcQxOzzknM9bNUXN6rkewLupEdqaJSG9TatZc59k0y9Cfbnn9ZVst6cuCYwjrCtP/d
04znLt6Mc4hR6yaUtRthXtcnJBbgWwv6VTtyqsCIHp66uOmeZ7eHgplNQzRa0415Bcvj8GjZC4h8
g7jEVmhEwQV/warRVWHk8ChL144zvfNBwxmq8vLZYLjG4WPmkZsmFbKMdF55vblauqJHTlEq8yOV
SnfrJaaxh5SVHv3Y9+/VwFke9/DfU/YotzZeohu2V/G9CTDvXBIrOg+pISH4KemBkihx35A0oOTP
Mct7AmLeT+71ydrt4urWmWwLeAFbtb4pvJ9hGocXQWpuhQUKnbXR+uTBGB5X1AFl74ZVdhcem8VB
L6DqWu1/JT04F7/iPpu4eX/TuVbw7rpdt61wn2GB56BnLnJydVGzhoHXUClAtj4h0Jp6aubp0bF2
WaYqosO332MaEAfD8+cH9jQtW66mP7LhiDeVAQ7ImeT8wq61up3K9A1tJr4zYyXfRzPQe2KuGeQK
ZwdbXW5n8sORnwlriwUn2cypVd80fs5Jp9AZFXPTtjJ5OPehyPAMSO/V5CrDyxyUt7rngcf8WL+l
VeaxYC8ke/yKN3DTuufA6oioLknfI4dlSXqf2OQVyl70W1st0xftx3ItcMGu4sDmKyOWYVThHJ98
PznVPoJYNySvwXXPRTzC3PQMRE2THJZE7krizAiuxcc01MMdJ+pk4h+g09mEMMEWzNiY5owth4Af
MdXxK8vG/kmGqjySM5t5Ww94OD3LOvqk8BE5JKzxUsb7MQ3WockiUekiP/jF9ziY4TeEQueQX/EF
jLB4Ucai+ZqNlO0QLT0tpolCRvZYGxjxcBECgK+jasGYBrzNvaUkaN4tqWzuRoQ5oky1+jR5w9z0
wODgsXUjPQ2kbbn6ME5gsNl3SDEXsu7pekqy+TGOs5Z5IS8+pBUu/FVUsS2rJf3iMmYfBg/KQh4b
oOvCTj8bxjI+yGHxgexWjvVOxsP4UYLrjMhXqT29EshqsJ0o3VimkktPF1h3TVB2qL20TAW4utZD
GMooUDMUmXCsBbqGxnOhWn5enh/Kt5mQMO+skcWgUcHxJcjN1gtxnyOlhm3Itr5eDxneKwb+oQvP
OHj5/KpbT0MFRCiz14yn5lEK6CWlX/7U47SnVOsp6AM+jTVkdxlH4koW1bxvAz+JZrfRh8GpuwOL
N4RFs0b8HaxmG1J9QODSDs/1XMdfBjNTQVNS1a+HxsP/LxJ3S/LfvzhLoc6ic8t3P4h7ZiPPO5Da
0bveMQhVUeVnQGiDRUY63Jsa3E0GZsyq4hFPAXO4w4lJrHskpcaoD54sbvLgC3qpcFG5PBzLRez/
CIUhfDo1adFSjEhbxbL9phuX4k1P6OEzYVW0XGf6EFVacnaAG7gD+wTiza2W+8QwhqP0luneaNsR
c8cokY9D397G0l8OC5uKh7AMm49kjrOdaEb1pjjfeMS3zsGf3XILF7O5BJ1t9ivd0bDVkzPc2LGu
73E9UNGEutX8NJdkeAIUM/rwndz2IrxabBEDMbtBNQzeC3iCO7+1f2VUtR3dNL0GZQG63AVIEFBc
nAzTpuzWjdn26Qa4TX+Z/MU+NrFtR8Y8l2+9J5lc8bjfofvCpuyK+iZuBu+maGgDwskBf6VOCRmy
y7PbO+l36pbhOlcrKp1mLE42jxrNIfqAcYg8Kp6g4qAE6G+yLs1jrphhcQfKcg/K0d2E3GLO0B2T
tS6q9lmYwAIw0/pogzJ5cfMg28VN7AQrgKH5YayEvfLacTlScHP1Fy7j20DK9ylkCr3v7ZHTZMmd
l9KesmM4IGngiuAsgsx0gwdAOSsMicm5cXPrUrXY1iHU4aS+el5xCePmXTQEonWdC2pa2YOqVSgd
86MUloRCjRT86qIYsWvJKUFf+Z1r6i2OjP5kLK1FNjfgtqtjY4lmX6oL57h6T6dYvQy+pgVCuVwM
gq5dzYFd38LmCVAipX8MGg8KYD94m9GwyxtPz4xYOVQ8jRiSDW+W34mNZ+bpbexO9q5prcVf0VEu
3hdayBga8DOhuRUnQ3pMnVlONIxqIQKLOs7v8lbAdJmDDzWyAUlzY7ewtIpIHfJJcji9tibSbDvA
JgOernI0ZEtQgN2DVfJTAuiIuGkgjTiFqY+1bHssAUsnPg3s/5uJzhi84FLAcfINXXbsrBRcuiyh
pA0jY9Rid33M4ry4ZK7HN2tPGGgmF6X4fzefcw0CfdXcETnNOkpQ/wwGbehn/bv/s/29lL0HEjI/
/Gz7ovuvvtTrn/yf/sd/+x+tdmkOIPz0z7e6/O58NH+70f3LB/y5zA3+oKuJHBX943S9Bi45q/Fn
2/3HvwfOHw7DtI1s4Xick9eoy38Fbvw/PNv0qXOldFnY4rqC/XOZa7t/8BFgT0jqeBB2zPBfWeYG
4h8jhrbJTtiyLNfz3JBP+Y8xL4rR6fQpnZ0ibPFE6mLZEGKtjgwQ7WbIpx7uY/meIoyBMwuC94x7
L52fXo8qwz/cHdw5cUlrV77Scg3hG/PbxQorPz5MZBLAZ9p0LlwlDPFqLyN3RnaQ3KtligopO10d
JAcAcuawvHJVqX8B9ehe08VPqpXr2N0t4vR0ZwbXWxZXtLVL+17EDGYfp2awH2ic0ye3reojGhPn
dVh1h4RF7bSxbMN5xZVguyeFVn5ClnLwLyF/PckM7MhBZq5xMnO+ELN5PlynChLH2FTjZzhFGiCJ
4Z0E3twfOlMI27kRyGyNxSN7IetpPnNXHcOodxI+t4PatXaKnEAqqWv7O0xAhCCSlvWxaaeEWi4h
oZDluB/zts/OpIYoj29wBrEe88GNsB1v7g1VE8WEF0kiiJ6GaCj96oJgfzXcyp7rNBJq2d8CLOp/
WUBCHrDxxvCVeK5+KAtteMXGDvWZ7YK+wePBkarNoFQRTfUGgKl0kPecGzNsPa+OOK3YHRBSQTsd
JYvd3q/Pjtd6h9yykmUD8MLBAZHD6eo9HIeT84tTyNf8tTyQoVXhNntcPFy86tDsg/XUmVePZA97
bbUEZQZ9PZcHEPBEjjpTMZda/iPBaD9ib9Z8z13BHhHkab/rjdz5UqSS38mdi98xmpOXtvW9CGb7
eXSr5iKhvBBhn03fiDy0M2M79QM7LOnmCUsmDorf7ZR7tIPwttG0bGgmg4T9vVseWeb45HJguOH4
NO85gMAu58a4xdzg/SAcWzyVldc9uqabjvuaGyx+UIORm4J4E1quN4U3pqB9SQmT+xwuNS7uTeCc
Pe3bBwotbebvuAaZ2i6En6qRlzTgYstT2wjz+yzpR048WlPP8dg+luYS/wCyIY+GdN13vynFCa9g
sU/sxuZlqq2Q4nJeqJXnw+ZZqUF79br6jXGRYY4qKOrWXyIWCiypgnZxDu0AbGZFB5C9zeaheQDP
QMnanG/NMTM2ntI/lCpjbOw1lrVuMF60C8WwCesjjiIj8vsYfMLsIhK46BBeGHE1YK3UuK9xSqi/
t9uIjoYrycNPz64ZjN9Fqb/Ye2mQhM2jBn4TZsBrY0duUX9BYSookmTUbktNWy/MnDWdQAM5GRHV
GRt0KENXyI74DdwZ2UNXsASBZWLEYYVXtwvyCIVWK6553hFzyXo0nZEHAg46lvddeQ58l/JTVq3P
VehWF4Nk0qqx6IMu3K7v7zsRM3FRUQRBaDGNlNWxMQU/qK/D3dJhah94uybpF9MZqA2eJjaBERPv
8fEaTU53Ts+Ls4KUaUyYP0aoQHyQR9/Wb7TR5Iy9cR69rgFYEPjyO3MqKptg+EWByD3eFt3Entxz
d+bgmltKkMiQNLhahtEECpW4DJyAk+Jnn5d23XdDsBpx4UYgRktoe+l4NS4WieZe2/URnVzE2L3M
fAzyZvkRWJhxgKPCnqM7rD44fizvYrpFIzOvs18qw+4FHc3D7A22Zo4wGkEndwyIEYvt8wvvDP27
ootuzwp9TFYDqOs9w7COerwzXE9b3740whQrR4YZq+GkeSMwiDGqmRuqTtH9SgUKonCr4ZFmgebN
KHp59Es96w13MH/X9mx3ef3bO0S2HosdEY7PZKqKrQMpdEm8E/bO+dxBw35r7KQ9Jcm07xdpPPZq
wF5QBfJhznRyK7C+sQqV5S6oKudOV2eFRlYCKbhDI8s27C6H55BEe9SqsbLX2GD0YZHKuDFbZr4T
Tuf5dsSqQZsgT/i17EPr6I7FexxyAaJvWL7orK8vvMzyvpSL+4MaRCE3ujEnQpvFEN8mKRz6dJip
MbeTpd3kPb0GYwAssvUC+5KWC5exMe4B6Ic9RofFBYk9eBqQynJqDPD7gCP40S2jLKJiKZfHeOmo
boxxRr2iMjjbWU3dLWlq5+gXVJ7g+lzYQok8/9Yy7Q/W0PNDQunKHkk/8i67fm0/4yrRUfIRJUAO
9za9oV+w4OadQLbDCVkSVnOqgsRXYU1Inq5TGWe/5Sawcq8wm5HjXjWalCWVkSQSx4c0bKHGQ6Wt
d4jI8hAuc7KLYf+uM5oKXo2qX547dOnz4lBvigIFZk+5scbxnTrWITGdb9yTOCKtUX6y1AQeiLVd
PU/WgB/OZfQA960b/zypABhOQJ87WVsuEWn5wY4l420MYAc6dnLrKFr1KLGLE2dVjqH8MfI8JaSY
wp1n1VLV9wjksH5HnS1Ptc3wtpoI4hxNUEMvrZbD85Rb3w2ddcsui1vawZPCQc9rk59+3yVRJVL0
l/lqg4B1DXaIvfe0pd/FfskbHLg+j5qPGDmWh64NEp4WUrMitZB76tmnkPJn4XCJ7536Wk3MJUuV
nfWe5ij63Lq0c9tpNQKphI9Pvo9FhpcfFzSltzBOPsklUT9OyYQOQhhINskWisT3tPM9miw7VjN+
oSNlGDf0r14XvxoiYj8uhwoDPdJQwy/Jvsd+fYJJS9qgkjHm1P4aPw1JQKc5Qwfc6/ZT5cACZ/JW
1mw3ByBH3k6jytsr3Rj5hppdLCGePd7Tv9Yy79EACqk1jBRnyjNLgAI5HoUyqKzmDmLh9CzVwt5U
htg+qZi8rjEQHGvPeAomfzu5gJQb0w7u6YEobyDIMu85Wf5qzSgOAztm2j0r9Y0XVu5G6JJbfEtY
d/0qfBNOOd/Glqi/SVjCgW8RtlajEPNj42Z63+M0jJTd7vGfpee0Bm8hh5SGBNSH0wTl6ZfPRnat
Yu8WD2h2Kg2Oe/IC1udczWB4szywYzYmgLtX82Bkp6KME5dJUk6/YiTw8zLnScbayhA3s2h4kIxT
/VkOjb0djTYAxmN0u7EcszsxM0dZSRxGfmfJiDiGQg8PjV2V4R+26OFe6Xb6hrvW3mWKxVTgdHuL
LdhmtpB4gi6TK58V9hnxD1JiP54ZOonNhpULUcYu9rHisV6bhhspR+7AX8BVTz/JYn0rK7z1k6SN
KE7HTuYmmf9QK6Ww3yvTilJtnHgmEiS0Mf0/UdFOJoDYD9VD+JNzxohQL/Q3d2PkzJ3xEJh4+N+p
tQ58EuHttPOFCvnZ14X7iyGrhrHrlNYLh5TeTWNn/WTfntDDAeFIr4hFh99DH1hWtLCI+NG6w/gY
Fp6/cZd+uZitcZFW7j0wTM5H7MDpyiHCfCZ0GzLNXb1+ZFSyGbOI1ZJ1aDzniZ74ZF+23Mep/Iw3
Y5efHLKtNzwRSHbopDyLBCvjqkS4fVN8xBkTKZAx5szlpukClunK1P47neP9Y93YzZnfV69n9oId
1Oh5uJfwfUaMtiK4uIbVmaR/q4WNEBPuJmCD2GwmqyoeF0wveqtGlbxjhijPTnvtjbaQb28c6L6Q
Lem/wIaRl+y7MfPBU+08sW6h4YlV61GRtZa6uUY9yWKxeYsV8QTg+6dGKbh7iMYGDCdGDLdvDzBA
y5sBs86VJEin7SD8expxXIcBDBL5moxZifcisz4T1QcXEUr/vU+h7AZBaPQr7vmSUFVCNf06Znk4
EbeBzrDB0FptkIEtvY2XMXhq54ZkFLbpeTsFWMbJ6sOt0h6NNiE041o1RHBgiUKSjZsdT62PIevQ
Zu0ejHvgprsioMR8yhBG7eQOzeCXtoZkH1e1cZjogVnL0mBnk+5dL7tZgAyuBqHKTZEn3aOJZ5PF
N60mtIMDBkWZXheu3FE/c2BOKPe8EMt6ZM9bMxvynRyFV/0yZ16SLDFQ2tlH84NgOSc4crIipOGl
Tl9RuqjIS5OnjgAcAbLkmYoOf8V1cIyavKPnx67oZQ8ujg3ruUTPcLJuiriMfBoxhc5evmHTHqyX
EDeJbyY/uhrqFnYLNlqNvel6X2yWkSydrNPu4FPFsaUunYU8XCBsf6WzcaqBMBnCzCYb0AbxpMLQ
LZqoLOyNWUwfZCs27PX2XUhmETT37dL78m50yhqAvLlc+N2DI+vE4Yajx6LTem5Ie4S2c8yrNnmI
VSB3Lj6EdaJpxdZm35NWyGjWNFTlREvZSoZSY4YJDeH1nl5lCwkMI6KzNsI+YFtFT/lZzD353r7g
9Q1oB9nh/0FJcNxh7xp+/NJbdv/WwpLN1wR7rrRsam9OUzv7arOA2L0vTBygW5Go8IUq7emjc5L4
hBdy9KhWAYQ4Su8tGVWfbDvDC0m8L1xwjqZjZQ9CJROLVGqZ92oypxUHh/kKCLN4JAJFJZBBLMTc
GbJoj77v40weApzmhM/UK3IOiTveimYXPHWdJAw5jBKOowr2U6E/FpU5K3xWYotDZU0/bbhVljn8
tOc+pbYA8OdN0jvBnjsWhhKS9VCug0CsMVcT3YQVOPzgNwvGgKfoIQemuSvFJHbTzFHtZVzh7DRM
jjkmyT2eswXqUGqFW2KL6mQlPPN5CpnjS+LJ4r0uqAHIRNdX7N9b/zlgcLk2zGCHvsZf5V86Jf8P
fPPfGSs9gcHwn2/f/rP6Tpv/P/fm90f+uYZz//CFF3J3pQGULZwDIu0vazhf8F9YpQkrZNXLH/rr
Gg5PpcWqzUfM9K3A/+sSzrL/YGmHo5JPJ1zIZv/KDs66AtD+DnnDl7DY9YVhAOTYE1e/5d/QoQTp
7oFety5qKNhoH9M+CJ4W30BQJh8tbolmBuCKrVpHlUmyzDW7fIse723+5mW7+8sX/Dfqqe9IZXct
6B6uR//wnfBt+NRL+uwjXXhjv7/Tv/lOTNZUmTGH9ra22vZFBqQvYxHGhyEp7adeZqhQGNPJpazQ
y6e1QkQNeCxvQRJ4e/5VFsEjpEGU0/OHB+0FiEc2a1p2uKyVSexxbZvjw0IeajPjmbhJ84xSgZxV
zdbVhn2ftiAlMm1XzLJlg9neWNC7kiLeGg0aMNbYeVsRclqnZj++WTYF4lHHobFltg1Por9uvEJ7
IB/In7/2QAFvaGIxfaCxcdHO3ZuSm/D+ekm/Siid82F6ZnHxWKORdNMFcavJ1KdJdOtMzKBWnG75
BvPuIWyYFIjNznDs5MiEV2DloiZL4g5IxvoTlkp7QFttblO3s45mDeJfXK0dInS7u4Q+oo1b2WAi
c+dY1GqPkZGbdi8S9P2QEGBOzHGNGiLeLIbKdS1M+zkdQyPqkeq5EUO3W3Cdn3WaGBF/xNxNiHab
ekybfQuz6ZwYzngYMKNtmrmIqjlBVHZ1f2Lgy256mqiZa7Ta+r0GpNqjaiKNjFT0dC7RAU90T56m
ESzMamfjJzp9LKrRe/NJ726buQUoQpJjz71s4a+m78Crz6tSGOOF62f+1JOjeB1HPURUotPZBUSK
9kU722q6hdbO0gzfusyDrShlde/iAYRdIIyeY7BsjlniYPURdtRO48VN8apVxinQqYiSCejQYPq3
vkMwiw1oYq0Xeglsgjkr4vgky1nf7CRDLeRYASY1ZYlGl/2mihe5bmGjtqJFG8wEeKGYYxGgxWbE
2bEnXILq1rG+UlJ2bxnTyq5qu3pN0BWofmUYnz54my1OvvmmhEO6CcerGZe3VcTwJreKfNn1f4nv
pOnC3UiFzutiGza2Z2uYL1ipKr5mbd2bk2Pd9eUw3ZoKBpRG3dqMHGKrMqxus6JoqMjol51Kuu6e
xiNB7ZG73GOXyLd6MeihYyW+HqD338k5w0Jh2QlblMzbVhBwD6m2oR6l7NiaygQLiwi4R5BTL0WF
3SDMGNjxE6R0KZS/HEamLYna8il2/ZG7CHBUPgcwwVSL/TCFy3lKJyKyXhfsKqwbWwcoDSogDedk
IcJwi+mPLS862qZhFN83HWemTP4fc2eyHLeSZdsfeiiDA3A000D0wWATbERqAqMkCoCj7xzN178F
Xqt8laOyGpTZG6bllWQSAYefffZee6YqCViWiWOABRp6ONhZjgiXd63Do2nU3GfBxc3FUQ25TV8A
GefBnshMdYZ909hfzbK7n+plgfNeyatfOfNh7f8GuuOKa+wnDwGHzA604IM5wFRN4LDEZjlcaG9M
f89Vm/wlYT+EQd6XIcv96G4Wo/mweHbzHnPqH+0hd8+t1jV+Hac/LaWWe/gV7gMJIsLrtDLdYgDO
n1a9ooVVL4/9OAy/W9yhN05mstTeit5o8KdRqBKFAd/4JCQpM2CCdmI3O/mOpKlWtg2W1mGYKSmh
GWVL+VQxY3mjzj0CRrTnsuLXLEjMsQSPF6vrwKiBM9lQezzNdphUPrlzhLMkFGXr9VurMW1giYOm
qEHYI6TENHqjuTJ6YDjDYGnJoIKyRFC1gTrLMPJBbHB4MqwKy7CFHoIcUjOUiAgtrW+xz0lXXyM7
YYpuqYrqWPJjmi6Sj1qUWod+3PJeJ3CVEfuxLyyoamTuBDLV3WrwOXsAgJ2dXQdfc+Zm8akuy4a1
d1+e/byT704a9MdFAZ7GsWBjaoBoeSgdvPeQ7oP6b1plc81c0vZ/vQ5lO9JL/16IYDjWbvVQJsYP
8r3dsTRw9bJVonSyTCnCq3MowiTj8D+AWnE+qLoD3utSsfHuFG1+CtS8ksxH7xSNqR/OBczuBBA6
sDIrmhCimyh/FMkI1bWIRmc6uWrWwR2KuMi+XEN2w02ownmOcepgfqyN+rPjVfiMIqt8q3BBX5sY
swHAFT7QO9HypxXBMr7WyFVk6psI3rHW71kRGJfZl1NEhehMbpE0gBtK7MtEdWyC0VRF2Oe4bm34
bj7oFkxLHaPV7P5FpZE3PoWdfxo9launvuuqUw+D9nkgqPTM3De5W1s0jKK6CJq/MSZhc5eknvuj
BF5ChMifT3i65WFOtXtxZ+1/0YNJlXJkmepo+ELeRcqZkg3RqebZSqR7LSf+VbOM0YByS1Swzmjc
Wxa5zUfhuM3N4bR+noumOdIWqPdxh5kL83/iuxuCJhNmkMhep754RwEBiGUn8jY9BQ+gi8zcf+hE
5Kmzzm5GoP2LshQWHyejFwOUP6buwGzMH1XQph+jVIMFsikl5VyAErYhiLGVYdPSlA+KZr4VQF+C
ju5yHws+SwcK08nHPAnMkRy3RvyUjHJ8z9tavCJz28/QhqiCEp3cYxOpgPUbMUiqIDlxq8kopdD8
Fty1RsUg1+ptPqXjoams/iIQFjGL+MYTQInqIJqBDTxW5i8vnay9r8EnhLTy6dcWvUBRi9Pg03JL
4ipzVlj9bllmC3tpogtGt6IiBS/GAWNtfIpwkv4itDVuq3ZOfsRW0V09Oy5CI0lEWBaOHbLCscJF
8/0sMExDQcQcWUzLw9Dn7rZt6AwO8dQZ3MX8A9lkcHYlvoCOCTwiJ3ipiVA6ULLGAV9zNy3jmWBK
cuY6U21BDyMMcW1wXxzmUggF2BVHYMCeeMwaQmPj7PIoLBWVJaq12xu/ai/VjLl6mCC/UM2wpT7K
u4xxN++IkcYFdT5t915HGJsiJeeTwIO1j7KWjVuCkFg2a18wSHOwi0v8oJdZ7pGPZ6IdrX/nGnB1
0rhN2fdsaueL+qSpLd9dc/iMpLdhdjpb3jvzvA1cWhNxdyAJ/eJ+SRBIyBou6jRr3NZz85i3qdrZ
WZTj0gb0el8ZfCwPszngjuyy4OAba8kmWsdBRdI5gtN3D9JM/S2GE93cV7gQQl8OAt9HUe8m8gTz
Iz44egaRjyWyS0Fpm0zAAmrWuxdwktmLHqhVsHJWOVJ3+Ul1Uj1Cx7C7naqr+UtbRU5gphrVD7T6
1U0oEfoC1Xl2qEzbJZvAoorm3sJn6zSVuNKijdQtn1otveTkd1MaKmLsXRixJjjKCZfqUrX13iX4
e1d6g3mvRgR47rfZ21QltnWG20SAexRedAyiqCHe5Kvyzrd8lphikcDXoP67WhhHbWvxa+hi+9EZ
rY57NbL9M6cNzqwlwWa4TSaKRNo+ghARYaWCiNuC6kOMY31DKcohjkogBVJ2G2vIjc+FdVOHR6w3
zr5Sn41tBA8NhGsDdoCVfw2lFz9knIp8/XsSI+3kMD0Qj563VICUV4/oEPtqbb7VIHke+cA1l8oc
nUsQGP3edMBk4LXhmZiq6C+ieL7LhO090AZrcYH2BhKjoyc4RWvjjWU/ZwghEqo6Aqidh6wuiC7k
srktowu6fuot+76NzCBMg2X6xG+EesIpDs3boOaeHRsYQYpXcOl+tQ66F33DDetLUfPljJHaJcXt
UowYsbgUpKN9AbRHyTcWnp12zeq1toBHuXxoNjnMk12RRt51TvLkDczXfWO5NARTN3LIabqiroDh
5q6VMaH7rPU4SKx8OFbMGNsgTlgrO3J+cibQHk5eXgg0v7pW8WVE/gP7QmxmAipjM2XmPsUFdjJS
ny+TgiiDb2MD8G55yJum+K3ndngghFdsem4Bd8mSJUfXj2kzE7/Y+sPG6Z19BuPTBFhxJJmaMEst
Ix7WudgLPkiIM/GcKIxE8dFNsbnT8oDF/zSlAJZml97B+JItqXuNvVhcCKu3xFftMQvZeVAxTBKZ
KyNK5tjEAq/c+FLzMu0dCHsh233iKvgPUBpxJlCX4p6iNnYufj84T44o/LPGDrYDHhdsPePbgpaq
C1QAXM921QquoKW5PoaQiVENd8YEoLSS0zHKXfdAMu7sZ/3BTMat8JNVX+KZnsOxlGxuRJCeI9AD
YWup6dKy6N+izq+MpAoVSHgFhXTYEqj4lG0bFlnrbGGjAhJojo3JHWJxtI+LCpx9TIHnKcJZuI+0
5kcdAXFnnTIbOzDbxiWJm+DdZAV+IFUifrQ+V3aWqvm5psdvCwIivuZE23dyDPRx0cr66du+TaR3
qW/cgGnDgpfylpURq96yNshlDPK2hlY4K6VPncyK+STDnrCMbJadyaXtN34fRmgBBnTj9NUfO2mg
pjg9WA1Fd2Mkt7MZ/TInvn1QJRaWxeGQGi+NGoyLNWt3U49Bd8SS4J0mawiuozsGzz6MvC11XCqs
BBdY7ZX2rrPBpUuvvqP3lT7JtNq6ZrRJbIcp0ixuSk8Z94Sy/RRu6WwLIuRQxFrj1NnWccoWA7kw
pcFCjP19H/SogUF2k1USSh87oOW095X1o6HEeyB8t9j+3urdD9bjD+VoimOWTM9s0faxUdzmoqXg
jZwULXPsDkWlQ66GP9o4eMdnsLV0+tkibIR5C9cw9svkhrOpOAY9oiqfmfLOyUaL57itToGfXUCU
Fud4cpaLC31j50k/PxaZf3BmRHfS2WxrTHaWY5/HB9bpz6ZdsuKZSxgYOQPeog0qeyTX8JMpGa6W
pMh+29AG77LBIz+U4p9kk8wZaaFOY4SytxI+HyDeItpDxYouUy6LnbFuCwPBpI9LR1H6Sd8KIBNv
u3S+PtGcQIjGO4khubCjOC42tSS1SOVrXXuglxzPfk2VAyqgxT68k9bMh5HGrILWcOgaAxTMQe6X
Lq3fjJFdgG8zoiwuDqZiCepLUpn6ufaKxwzbg5ol/70my2Spc180X+Uk2yurZ+q7Yt8k5AakyKx9
Nuei2CMxAffws7W/csq2FsuH62Ktpd145H7b/P2oax9wv3rl5LwPlHyetPL9xwkUwj6ijX5bevjG
4hxqSDOZexe1fSCrxplXvduuYd6ANkNAtSYIiYUpPYsUqdvuezbyhzEtKdkcTf7pwYsRABoDVnkG
eDBWR9A0AHi5tTveecC57nBDX+MUyuxCh48Nj7FbvHMQPE9sstPEfpxT+rr79Bcbza85blnQmXXF
RdxqCOhKl266DgLNns+mEY4yn7bKMsxdRQYaY7oWTNlGeuTLdcyEPALv3I6O3mJeW4NRrD/8ihfK
K3Z8bb/c0bo3SuzWWHuO0hAXiSNuRXbsG60/sNQSipxsVOWGz8FzK8z53o6Sj8G2FnxkxpudBvKh
UFP/aUi7ZvM4szvh2uIxQJwIu4wAEBPjmX7Da2U321phWKNW0L0jaBhhcbLeOcDBSpiNfLPZ/7EV
cuetP4u3Ap/iFkJKS3tosucOHbaEn+eq/xrMziIGMFWbwIOBkQ0+vaCFS/+RBbaa/Gc2hclYvDRu
yvVSjiEe+HjT8AHfFxHrS1yHuNPfjRpWgr+ySfCuUNFKirJ/Zsju9rlDxAu68CEQ/ePYwvSw8aw9
Jp39qipqBL3J1luRm9wXBYqRx05jY3fpfqI1N3RSipYnVzj30+TSnQ7xkogHgBI8HjuLYLHbrg3m
xB7PTnZnBOalHtOU17F8XveU2MvOUdAFR0oV7t0lmFp2OkOwHSpRvMRNNb3jNWRTAFwoZ+DYFPV0
dOE3HOjUsOBD0dNwSvtu2BuZK06GSKxj1gn92Cw6/hmzdAx5Qz8Z+V9sWCLjI1nKQTR/PHSuFyjN
1Ulw9T0lKEM72uPgK+Fppn2TWq/J848Ou15mE8yAGPM3w1DVb7agdjiDjEYu1/AB8tW12pQ9XedN
DTXY8lYGCELYHue0+7wk9M9G5jJdq2UFxSoSpifXVQMm44km72C6IwtdboJRTfygqFyrLdgVnuXN
kNhqO30lZ+Tc85wR0IbB4kbdnYocWu5wz5l8H5XlUwY6de9d5xgnHKMpXA+T2Le5eL/rJeqOOmB1
HKnnwqqSg4db5NAGdfZmlCjfjWwfB7LUQNGplckaN9rCKBp2Md957sngLbH0ONzC65trar1ZuCeA
z3PijWngKSWej4FnHD9kpYnwcYqfYFo71xzzyjZeI0uhyrN6tcPwMzuOk+3feXENUQZdqCZ6qfjv
IvZ826RMUKga+cdD6oLAM1uPpaumJ9Xh6toSMGMcNr0RJRWsoWXFP7JFsu8myn6mKGmqd12qonRj
RB1r/2ieFA6IJIMkNvZERMFJV9w0uVBlA4ZLvsjpYrZwBz2abDgXiOpfA+np+A7E5KXEd/kWEfzZ
qJrRY9etAV1CGGR1re/cLkXpRH86rmTeGuvVo4ANgMGVp/M79zvNrkfXPIs+3FmEtjMCwqZFfphZ
3noj0SJPonebv11CnFhHDmzvNWJcQsZ/ov8hfjDcyj40SasO4FO4AAmXWHL8nVDW5PvuTN1vWy5/
Nr5m4GuoFHdBS6h5KIg357NlvXDwlw8DmeGD/s5Brymeg/Wdjp6+k9IUUk+QvpqaTx+WudlpcDnK
ZkAJq9aUte9yXtBVNGavlvCvQ0BG0ZvH8lE1wJbE5HyBKLZ/sYikv8fy7ehPtKa3uYZ8qECSRMnI
yg7dixVkKxUPwQt+wLFf5nqfcXe+QBHlcZUIX75b6iOs1vKzlql39GtHhbQyw66oep6iNTwez9ny
iMeNeJ+Z4xGeiWDuF3wBvFoOAp0L5weDL6ZHVd/7mT2EdTOBgkv6Vz0TUDet9kcqGgLSKZVHdFW5
9zCE0tsMWuCnA0812Zik5A/AbWDEDA42lloy2MTRS5IEwQniDNedgYJtf7hMqVIceCT3Z8v7m3L9
X2Pn/Tb7TtDzya5DvcbqxXfCnuzHtCXcUt65S/Q4eMujG7vBU+KtYL81k1/11m/K4HkYyTRepzWw
36rFvnRqNj4JBcEMr4KfxLL9o1snGrckaLFZg+0u/8n9R6S/Jm0JsAcOo7F1htdRvgL6k/eW4PEr
PSM+D5NvHBnssEy1+VOfkrAh5W3uvaa/E1zUO5+Er72gSu60tcBR6ErjXs9TgIjhvCS1yx+X4W11
WrCZkAQ11A+FhN/yl8/rsBf2g7E05p3wCCVDEVFnAZ2XEjeo0YwJ2aUvp5tYiapRW+KPGOmTsKLg
eaYE9pKUJS4G8CKmxFugvWA39fkLbKn7uccakrg1fllLAfNdMkFYRg6LeaRYrt9b3HA4C7/JDP03
pWH0suoSVHafoALAdqjmEee5cDmQQa3Xr/BG3T8VAUvsGwn2QkHhpc+C+1TxGG5nv66wMGFuxB4E
YqJPuuixXbETc4+txQ/6PMxq9SpjmJqdwpfuBJ+uEpd8iu981O6DIzuugrP9hJMkA508hG2TUk/Q
vmEUeJe6Qmjt6iRsaPI1sqeo08l2YcHy3GIHCq2VjmGbVXuhSa3fwrpN3qSl3CNoEq40K1kDoNk2
XoS3bZIad9jK3yj6YBMPT9PK5QDgoajggtVR0NkWhblXc+3uW7SXQfIGxKW8E9+oD8jxBADr/hxr
x8ea054Ae4MGceiYO/iUMTKtcFvYqG+KCJVjdAtIx0RydKkNg2DIjxEL5JvZJGBIvJVI4q9sEizz
uJrrlVjCb6rOpT+/9vD9EAitfcX5dg2+WScGJLHfS8bFjO/hCGF20ae4XvkoQdub7zJtjRfmfvtu
4VF+w9eKmRiNPdni0e8eOBdgrsSDk/90p0D/TryeuQ7RINAshTKyaRfIU6RGE5BwbxJewYP+JrvM
GT8Edkxjco91RwGW/+bA5PXaoiDc7pRMFYaXojU1IVRPvmIHSsoDPZHyWsayKlEyV9IMq7f8IZYr
f8b+ZtEscQGXxvNTGDXk/dNXTCHtiXUU1zhq79I9E7Vz9MBTE9v/5t145OKBrgLBUV75G2ugEfZz
/5uxHFJOk9LibDbWbwB4zEXugmC1MRSSSLeSdvQ/0J1/ADwri2d2q4QrpSnf6ZfiXYLJA7bHwK3+
yyYs6IXdyvWpBy0pRLQh/GjHPfkr/4ct63QPrq5AHmMn3K6coDrN5dPgrvCgxIt5UBqPn95AfuJo
GFHL/ilZqdisfVC6yg1XRf3Fv86wp5nVCr2VVgRo7OZOa/Qpj2DyqTUPpdZkVL9mpFDWkn1DgnNZ
YG6G/neYKvoOVs3fISvPnWjME5H8VYGxgDu45rG6NZllrRkta01rwcKxH/LvCJf3HecaCXbZBLwG
TRkJNSIwcdb0FxvFQ7PmweLF/ywTAMH+mhXjwW92C2aeU2VV1oOpk8+gQ9Gjnwxb9zDqD5AFA1l1
POKZszwORBi2Vl0Em8FcBuAj+H/dvli2zfxOUDnroAHYVnXPRrDi1zfiNa6brZ6z9hCk/vJW6oTs
bly1O0gXI61UNGREeXu2S8nU4S3tkSmQDJltRDfC4Jz1g/tzivpk3uHWbnZmoNurwpO/m5DAbk4W
YUFUpXReWDYt+yRR0dNYjum+n4zpI8JTmC+IDlkQOaD72+KNKDQnYubDeQ2C9GkYofRqvHEFIYUG
BxhbFHcJ1RIF9NJGmqkjU+olGQBQeRYLH0AOaaxDKqhSmLgzV4LYd8Q2tvkmS0rNosWenqc5E8dU
DvrgEOgY1ip1NogkVIAR8LB4u/VL7TF4wNKB8F5jCABv0phv01CDrxugODq9ztfFLGnhdNS7StYv
TGbcUnqnPfhVDT95VHpfzPkaD7d+sn+LLlxE1F3ObTIsGgaaOSXwIUnJh1qpfIcBVV8xbsofnoHT
LDbHvSLQfez63jtm2LQv9SLSfTZ05o1kgD6wZEDm7PEpot3MdFv35Rg9J9Bs75Er+asoloJeUzoX
VtPikX9Vh/uBM9dXEQ0yZLsGVbRaPFxySe0vd+UyeX9ngDD5ge0LMyBbN1ikbUBRhrPw9KCl0njk
DA/2UD9SZbElEdFcm6l3T05OPgjIsqwucRkjxjWmXPgPWj3sKWTMwmCp/jajK8rN6LJS8Sp7IDvi
Qh818uhoxzl/XtXV1kFwUbgA3zzmxdx/Zhobzy7QBgHbWJbpGz/fn7PVqMOEiMCni736Ji4EY9sU
bV3VvZuOSg6ggXCyjSKRLciHbwgV+ztz6zg2nsnFHgjpZlQrERXRl3mhfdNvyuEDqPL8qGa+j3UD
4K9PGAxau7p4pQQdUNMNjP8O0AdxqjlJ4Qn6DXKx6uwHO0YI6CtKvLMAai/PbyHnV5HL7M8CXuql
gzHwhw1ccCcHcU4HZdcb5m3yHb41tkRRUkGT1WRU7wYL2YdKNC0kslLwVAji9xns5TFQPXQwcl34
3FMXKZg7w280UCYPC7t5DEAOl+VEl4VPMxyL/+lEMDgAGDA55iUuUl5tbNShNujOhHP8EbUTJN+E
+0boVtq8oD7ztdFK0uqJWAmfxRndgw3b4ohnJ+AHNDQ/EIY+KKH+NU5BzmfcbV9tK8lPaYPfnJae
Nn0XzJ8/+hm/J6eQOdM6zD2dWaNjmgIFCchQ6m0cpHqXZVP55M8FmNfSdx+gS3s7q87H41KSug9R
+uDBkVaAjVGPeDJI4UYQRkdqU+bcDr8HnAxZYk9/zxMbLwHpoRKoGHE3HX3DClhlGP7BaCbrqXJM
fecZbF57zqMbJg8jXFD6t1zap8dcxs7R6vv4nUyA/QqzHKwbNU6cB7mJmcNwNHGWVR83slbcK2tE
dzKpZmLhBaJ1xD1bpRIzkRfzJUjBAxVwz7ICIFG87Q1h3ZlDXoY9WHysGItr0Qvhe2rrNm65873u
rxJpv+1Bv1DOo7AztFm+7CxbvHho+2FqiuDgcpoSOZmLO+qoHiXp/33nVnJjycW7n9umYt6fpl8a
ihAF0f7oPzksv1tGpIXYWiqKG0va4NkynOmRBfbaN5iUF2OGmO6Upgbm4NFhEMf5ENqwe56dmS3j
bPfvHTp0Bj6vXa52OmV7nDTtgU8pfhe4/A+DVdwItWZ3E3euI0lsGzur/9YUbbLtQFtzlfQn9drg
13kc9US22hwc9Qa5jR2B4S+Ym8DHAnJZri0PBIz1SJP4mD34cRkcpjE5yyJFjox8wFFS3lPGW2wH
u/AphJjLE1qGplmrLngjpvEsaowz9LShb7aYi8PIn813uhxxfVCvSRLUvvltRLFCPT4mbVxuvYgp
Lms7KDOjTLbFpJ4S9oQpbqgj7CDenyCYL7OqUV7zqbzPKt1SAZ+dbK6zT6WXohswRN0Fc4EFneHJ
vtZeQFOtgM7f1S+OOZNsYmHkG/IMN5ilDTHW4aiiyXxP2sbbd/BSDtJxileBQTjd9OykiXqUZ4IN
A5TuDE+II6dtKqzmjaLc5ep3hLsYk0GOtSyqTZYPlKPiV2pCTLH5nlZa6uiMFFtHNWDbMZt6TxkB
AsA0zNTY1zF72cQx8yeOaU1ViUM4jC8HTG9hm5fB0l91K9B6ulgeo5QwxIbaWxi/Nm5k/F/zGT8B
BahBPL3oPp7u/TIaj5iOlxsWy3y3pBGSVCDKW8Pl4jb2s7WL4WB/0B1BFiAZJn2ZViwYlnP/rzvZ
0RtNYNMmAfReoEhHDZCubmkeWC8FP6i2nrd1WqEaJJUBhdjKdnLtXFDkV09F4llPInXTe7vsEMqX
hG6dYLT7R7SB5Hc+sk+mNQ02rI0Qid1BuJfZ7Zx3kY0T59nSoRpO8jIsc9CGpORyfFsp+wTpBL+b
KHDOXFTi34iE3CHUKkXZDWFOhvCCQYBcot+/r1LQD5Pu5XgTVGb/sUSu9Ya6kX7gT1se0DZswASR
sVuo2vpKDEfc5sllcxBV+Quw5GTHWoDxvqSXxA5q8rGmMA+wlSU91W5y0zHr85D8XH7uMbD/hdqs
n0s+ryxm5uihCRop8U7kUBx6emwMFUXnobDtfdPxrWF4Lk14//P4gcziXllZ5QSSiDzwyDvdAxsD
57kYGMCNas6es8r4pbrW37st388hj86QykHn2LJ9iJtJfMpSIytmvDMbKmtMvon0OCV1Cz8fXsOp
y4gFI8/o2wL+CX1+HNotdb1gdVuEjFoFY1gHlvhrKT+64NABaV0bQ8tcSwPwo8vlYM8yLgIqwXs4
tk3BY8uovxk91AK2UdZtrLropoKg2sUYAV7KKH3m68qdRzJL8/m1j21BxaEck+zSZfn06o4JDbl9
zeLJyImYWFxrt9yRsx8BkSrEaCNK3jVFB4qcnhqRHdC3F3w1HFGpke0903YuneUun2Wdugc/YXtH
tYoN4Eayx1PAoNnuzM+oYf1RSnLn47Jq77U5dH8x18yhDxf1eWnEctKUVqxG9G7D0BWc6wwXu2ZF
H/KqkqZ3Ckj8uvPQFWbXIMuNbM5jyQa7mO5JZTwVi+hxxvV6PwSRv8dNxp0zTokgsbp57jRFV7Hu
5NF0GoupyoetupnZvf9dDFfypVjK1wzmAnfBzgYd71YnqqOi+1YN7QPV7dk5ASzJCI9RcJN5js8/
ufjiwDGuOpq7noic4RsbmdMAsfk/eMWUUlY+7xM9ShHm/to1X0Uk36L8I+9nyO8pluFXOi2jo8R9
9ajLSP0Ewa3vpc3SBZ0WM2ymIceQziyf/lc4FIev6v6z+Oq+ORP/4k78Q5r41//8/wNDIUyxWrb/
mxLYMq2Hf4NR/L9f9o8TPsAJ7wCPwOzOHRor/L+AFIH1H/S4wgl1pWOtdbMY0f8TSCH/w0XGxlbl
iG9aBZiI/wRS2NCFMdDzO9oY7m37f0QXhgP67x50n2GBP8azsNZz2KEZ/rsbXiIs14aZBUeFJnqc
E5P+Ud4W0IL2pu5jC4cRH5+MafjgaDb/cbJMr0VHfwfgxHXj21yNhu9RHBXTxbNGfYPQg1msAPe7
CEo8Ryc9WlNl7mWBhr9J2ujNsfzi2mcsplvc186AmAo882aUyDpYT5JfTAALIoQqQ0vnj5hrYBnS
/4Lk2K397jitHSyluEq2NRbLF/oJcMpGsNOWkbmrXZ13W9nMJk3cVUUiPVIHSmq8o0F6XR7ZMk3P
+QBmLK3rL/bipbdlFKNYAUn3J06XX2NgmcfUce5VCc0uI7BzGeFNbTvboQzdmf+aRgncbiib+0mO
pNGMiPU79TJXeK7HeaDBdFxLt9oUzuXSjiLUoKz4jdJ3PSl3Q1cEw65RElPrIGpsRmnDNWjVm/IC
dlsQR/etVYiQbDjoq5FO25s5qj+j7Bz2MlEUorp8t0xiWvI782chJjpcuqjUB5x0SOmBEz9rjLvY
Qo1nPXj5k85d45CPksZrgsTmkxyRDNnHjEkeLqXQJO+wsnehNZqY87M2A6HALFceyafNT5E1MUOi
FPbMS5j4BoPqg2Ne448/wUfKL9Sf9GofLRbMDmfqsuiyqIijM6FthUqebvhBDDtqT13jdskhwDZ5
bnqJqSoJlganrZwJ4ErP1FGoujrHH0la8LfLRvuNVg58f36AoYtPYNPMoS5QOnczDoPH3ssygIuN
w75WkEehI2xcAnJEKE/vfee21wXLTb0T0I9TGmhRQEDysW/tR878FhsAd5a2Rwcp9YN07E48zVlP
TygGMoNKIsfLvd3oCLgfQALH8cb1PUqONIcNzZknzKZgyadHZdvhELs3jLH8W9VpcfG4+hPVmoE3
4tZqOn7mc+qdV7pRwMTcsp3F5fHU6fhE3pnRUo6s6Qlm9GZfbDU8vw04qHjn2Pe+6byDj3zEhGiS
JcZ43qXtMenZn8vWvOb1wshoVzc0lV9R7TwP7Ftn4cz3aWAfZZFdi3Fo7lQcbe2sYlF8dQua8Nj5
Z9saLQUIOD8ya5T02c4F0fLMfqR2yvjicWZ6YiWpzUdERgMboP9krlfcCrgBRgBzHxRMWPxV/9rL
U9FrLkD8GiHq94KM4FNnQqFkMb0dW+Ys9EOqUDpFjCIz/qz8ueeArpkNk+6jz+67g6a3aViA8TD4
8TGXYLdQF18KWyeHLEMogOMVHyl95fbv4vQOZkIdoqi6cF7oWsoYNT8dh9hZ4x2mskqwsBDf1TU1
nCWmCWoxsck4Cu1bBXa1RYusrmaq3J/BHD9beYE671vDYaQZiFdG7SlGwrdoU9A0DJH3e3GWbteK
eSf8qbuzuDlt7AjTaJkT2JHeM0ffNVak+u1mts5Z6u/7QiIs5LSezZZ7aIL2UNT+cHBc80/uweCb
3PkrzqIHG0ZbqBfH3Tud/2IAifsaez/7NSzx3/8mc+SSu/ov4SffYUMlHNcVqBQeAVRv/f//S+So
rCdt6BS51ojJCyWFskCM0TGyjadaPiSVy1tiLIOsd7LJuistyel7rNZiP+iWxEYLbnick73LW+dW
UfCorHoIdvGE64TnMvVtxB5Gt02q4TlWbSnwxEW8z6IdIYd69WqeB7zQutQZDi0aS91iexTUER8I
+RrtqRWSw6JEyNOz0novv08T4/tkwQfCKdOtB85Et5JxGvrZs468l2yO25YI4kDqd+/DeL71ypi9
Td6Y3om5gGNqdOPfXILhi0IlqBN3QCTs9rSQ2kzGKT9NpbHxJCNUzPJiqSzBbqjUTlkF/UFWwMha
xAFlPgHcsMG+LYWAUspxdueWEXl/YlTbQPcyFBUaDEsXxozSOtuD138J9imvNBZWu8ZOcp5VqnrK
Q5fhMz8oCsuGkMgJAYFo4W1xYTHzdNMuUIVOLVT2nM6dGC8kKoljMItB15ys3RS4LZtyo9gGQVy+
JU3ASjGC7deZ9KFUrbrQv+M8DmD66FwGVPHBodCFeQPLRlZjBfdwQTsq3EY9aDLPf+JeDmgq6qnF
MHl2qX3eVnGhxBXif3ZP17UHsYKNjAopWV/SO/y07iUh5vpASSoN1TpxqMnTxkFw9af6F/dUhcfl
dwSMEEUtbYafs1xjM762ANIMUH+gYW0rIX45bAbYE3REiCoi6BurAISAuoioYh3y/8vemexIjqTb
+VUad6EdE6TRSBohXAHy2SM85siYNkRMyXmmcXp6fczKvp2V1apCLyRIQG8KDWRHePhE2n/+c76T
lxPmcGJeA7Umnjb6cwo41cYdG9IQZNjYaGzixlIABKdT1TlPEdBRvFnJYxZy+5fwp3gm/rQ1FHtT
UVn38HYwlunxQCE7WCzw0WQuPkJoGph+jXcAyeQPCmq5qqg7sxGQIgtJGcUUN98joIwNianlNP8W
Wy7mKnSfnul+0ji8cBl+5BGE5rS2P0sZ+heppmXd8sxmp0ZDHUqre3VU255FyurXrZtGH4TzhrPe
Ve1NXorp2LbOYjmIFYFZXHB9375zWER3cOyPXmb+zsgbd03bucJXGcfnMjGemYrCfT6Z1iUldBeA
ayCSpFpsC0bdDVyzcmcvUxkWe5oLnGZeu5XWm4LSZJ83O5VDsu0USN0MYlDVdhdzRUx/Al61p2qh
XecjFS5hMF5klhUfRS6Kk2FN6LksAS/D0bNuqIdur1njA4Hv46PBom8dDib7gADp5gzkGj5WYdAm
Q/Naj4fFqr6leOvZ0KGGEEwvN3kLh9MG0rEVMUXr2NKxPQwjBdGZFtPziC+DYWqcxKM36Q4wcpOb
T7SGdw91J82SwuQk+QauEnEA6gRrX0qioByKsa32xlIDtoXMmJ8Hyz26We7W6fcbd/X9Jk78kBu6
7WUhvTPfb/Rsjrjpz98PANgQOAyM3w8GiNscEtzlvMAs3q3+j8xRF0iTZVt+634dpH7G+f2P/5+m
Lcf2/7TL5ew1z/Xf/ttrXv33v52/tvSW/n7s+u3nf5u5lowx4oMkWWtJ6ZDS+6/0MRDARSogZMwM
RUKB+9+Pmct2vlBx5BA85mDlM5AxKf2YuWzxRXgu9hZpMcqRpbP+lQAyoOnf3YQNxkBPenxjf5m1
CqFDSwMtIxfVMJBDCUZ2wLiCUBf3l5Xkq7Bd8gQA9g2ElJVuZbrFYFWfTyPmtDIM690Uec6lWzDg
mBPeVMq12OEs+QajCwi4VEbId13jstvQZMjsEEDhoxB8OuYMu6usjaZHVgrt3usic9vWdM6WeVNf
YQVIH0NO6FswmqT08QivByjj536I7wUyMIVQkFeA+EbNWR73eMGwdL8qv4GmFrPlpnyrIrjZlraz
Ufhg8b5Cge8xqKwomcK3PYR2clfWRWezG4dmPevQAIZQjt1n6LHTXrpWxX1XGOVtN9XxdF7XfXw+
YeA+Vcv0EagyAEcrP2Qyc/lSLtVh3yeoki7yAZ88lu8ycoN3tkE95nEpzuukrzasLyC5p32yBZBo
H6yAYB3NxBMBa59GwjZs4WT4Gfy7LXlHk12Cm7PhbyRN8UQEVqUxBOcOLII3mc49hQeVsVEhFBya
ssgOtGbzScNO+uhRXf7I6KwRhCrx5C39XhglYDvCsICmvIDaWHLGzbu2dcC5gBTuHvtPaq78CETH
QCqDs0mCM9wwaBK44NIT8HM6879N1jwfsnHm0hZnBm2vcB1ejSpOWUvI3l8bOVTu2GQ+COaE3xJT
BBuutd1025Z112GpyNxGs2tt5oyjNokxc2PDZYebH2tx6wqdszbkXdiIxq4eQDWOdDjSCx1+be1B
sentRT0TMwUquM6oumHfx9XzKnc9++jndXTtcE9YW1VDVKesykHwsjWUudQ6mq4DbhyrtmH5KvmV
4rrhT3zVOMKtrWN05qaYsB/i3QWfXxjwMwIwvIK4Vd4cI2lMuzyygm9T5fI3tbnvZNveYptGaBPn
zjYYanHruW3w6puaPlsnMPjPaIntnFPstongGbs7u8Z4FeAP3ZiES29KIYgC47tm06tn9k9CzPFt
LLPwm1OzKR6DstpOIiYw4ZQWrHMowJ3Gpw+2mGxlplkrKMP8CBxjep1R07/aPKyzKWlR+2b6g+Ir
jUWEnT/0EGzJtjINvj9tFYAXRFG8yHs6DjdZKtnZqUyU5WbsyUv5DimgnTA8JSkiIbdMKJfdCVPE
6EarmkNytM2I/d6BrEmHFXUvaLad0xZim1g1GGkxavNzmOqSO3C8mD/yOcSQGhYe2zUzcM6saZk8
rMz3b6mpexdmL4+TVTrvHBOzg4mr7pbCpuo0Ln2rM0HFa14UH56gqsYHulTDV1gPWI1dFjPVRIFH
I1gRgRzogCalvrijLCLnuc4RDox86HmfxiAj65fMHDkdOLQg411fV9uhmWHCR0Z45zNCkBkg5tqI
0ko3Y2d0D74XR2/UhA9vYcCK362D6XKmSRTMdmvQ6ejk1/gLHUrxGgoDV9Ka5IuB34r+ac/GSJvP
ZnnKeJOIoJc4gIOEpVlksjpOLLkepE/TML2G9Ai4FCSwNFQaw26MZH9iP+28KBkychY6BEDJeo2l
4kKdqzyuPTHh3J7OZAuwUi+AcpOxL89yG8j5RpEjiTedJ4JTknjjYXJJCkWcVEi7Udx6cloq2NeN
YaL/1I3Xks/NOvPVqaT/1bU1FsW29W/LObuZimJYh+PIQUeqYucYBB6o8tDVvev0/nleZeSypYzf
aTqSZ9qhlNDstbm35Zhh8LfjrdMSz7XnMj0IKtA3GaowU109bPiqN9tyuaYXZKlAVEJKcslfPGdh
m5G7x8e1dwbbX6cYKy4NrnsXuelaV35rNJvIoTEZZ1p763Cdv65DKgmLpsTG2Ou03jMfymtXy/Te
ao3o04I6xsIhTvutVsI/n9n7HUzfjA+kDwbSyqFxVvmRcyAeV5SU9rUjbvkhTy5CJx/SLTns+S00
yMckaR7f5kYEDnvsbjA6EKLgaikB1Sa+eOa+7Z+XTcrC2EFMuplhga0IedJdUftmzvaonQp09258
wEEffUuSNLxlaRPci2pEnTDMwX+DB5KsqWHFaA0d9HUgvfGo4wRglTkTVY1J1UPMAUPtw1qHbOdJ
i0F38G7y0fZOWTO7RHzm4dQ3hrx0azZmIDWt4CxkhEaGDIejL+J4h4ZqHzuaWcOVY3XdzjOS7Nbx
GH/iOIhwN1ZR88mCL44uBW3zr9jLLSwo6QzBj0Cvs07scTwBwwvXcNWJ/plKnmDA9s+iDZOdKU29
nrmL7Xs/L5drvIpoNQwCKnAtWZzV+BwuZ0WvJZfAWnzafVlcRorLb0rnNr2/ap5XtVbte0CjKoHG
Quz6oTbOZjXrT7pspyWW0DMQcBtaedJJ97YXqjO2oekrqxZcgIUvwqsQhmCOhaChwc2hvXxJdBy1
llTPtpWnz73Bss773Bw2vmFqCE0JvHlZcqUz+JljbIXpqayDEQE4cmlFN5Oz1lU1ryalAcFQkBPj
doKTcSLxMZbt7cBgszNU4N23iU+QtB/sw0wybKOgW58TWrmMTJJabW/gnJoBA0MZdL2Tz3317f/u
Mf7/QSz3cmr9SW1auN8/eN7LRuc//+N/tu1r/jOW+7cf+LEFcb+YFrjR5VTusvNYDte/8YCU/8Vz
2HN4roT3+9ux++9bEO8L+xEH2dblh+l7/EfHIlhuS4ADUq7l8dHxrH/pRI789bsTuVpQ3IjDC/7b
5ztLwfbvZbEy8gYzMlr7EERQ1VbmaETWVlOinezNEvAEa8U5u1Z8OyMS67aC8h5OHa69LiG3GnXL
aNoAJW82c9lZ4MLMmRKy3NHlYTQ01QflJAHh+A3DLd/Bz8lagA0sHuIz6WSaxmG8nWu5jM4uM3Sy
DNMyLsSN/33AJkyG2c4oTqOg561dBnEt5J1aRnNewWlvLuN6Saj+gtzzrmWST5aR3nFtSLE5shvD
PnsIzs3fm7YWKWBuVLnzMNRv5CIUYHkHE4h2EHC2veyNNtzLOXphycMhXKCE0mDlAoRo/V2JDsFi
2VkPKBOk4uk4WMSKbpEtKKedjuSyu5t5ETXS2KSBqab4fSmlPSvQPrxFBDEXOSRZhJHB5zFV7H4G
vWdddvX4MS8yijlO2CUSg6uoR8ZlfsOXeDRQXjoUmLG2z3ELniTKDHDusxylJmZXQTcB6o0s1bAL
0HMydJ32u8DjTgedTSXLDfs+9BGBCAjMW2cRhvJFIqoXrQhVbdt53pObmKdkkZOUtxnaoaHxcKy3
/iI5qUV8sgZkKIEelS/C1BTLPeQcTFiIXmlTEcyaFyFLwnA6DJV8mwaD/GvjAsLmyH01aYeUPdPF
S94KdDFYfIss6ZLjJE12Tck1C2aWZu9No1nY6FpdoTsC0EYt/tb4HR3WMrZrXHzjfE7iejg1UXpl
WhXlw9RWcsum7sEKDUSQtmR9HGfdR5VqHFWKMGvtn6UEw9dWaHHPm43GvsK8FLB6Vtdp6fmbwZ1v
VVTepB7EuHDwrjlFD0enz+LzuO5YhplpIK4hx9Sb2JmYtZJxp4zsJbd1f0E389EQGRi3nnqaW8/T
QINIZlOYqTAyu+TaE2CtxWhT6kZT8nmXeleWIZ3bjtIg6+R5QcLth3BrzVBgxJwgZZprhHS8UGsj
G0LCof6Cak16nuwmqyTfu8TVOB2IfuQMGHOQk9dA1ecJG4m4pUWKZVxi5y3pk9gu4Ba4s2mudV9j
aa7wJofb1lNTyMQYxS6O5TLwNjSjD4SfOClizDCKaFwVIfLtyZBx3h205VfdOhIppfdJKuPqEepB
A13dKFRHr1GuFoeaWSq2l6pg/U6n9ARoCYn8PKijbEAIdDJrFeLFVcSx4I0fUyczym9VGs+I6Qkn
253ZRpm/DoXBvnCisVuuQFWpcDv5IW7psDedch/ZLpBZJNMF0IcZN9oFuaHaj1L0Ub4uLcVEbgGY
RcykLf3FFOH0WAx8Y/wuIc8QNmqih8cCzYf+FZUHwuYsxERv4MfFakOpu1NmkM+wl/BiealBuFVu
6ZAKv6aJyTekI4JIHzYd6EmR37WAnT4Hulskcc6Bk1dKViO9dsskT3YzSrTasiVqw8soLXj38chG
+7AfQXkIWBbZ2nTVbG+mEEfgPteRZx1BMHTZe93QOL7zvZSYr8hVANukt7CIMCOQydfRrV+wACLV
wgPqKt2QD+x5olXk6eMUjMC0a2JpGWWEriHES+rGEaXysnsdilJLyFFjfaHZUeJfV3NyzEf8JwqX
uhNBGDTd9j7pvPuoG59UkYybtqinZ+UMNcmjKLuxE4vLXhxC0CqK7k56XrlDslXPoajx2tidnF8s
c/4YXA3owdTFQ8ApuvLhhrY0u+fEhc9dfm+zcjsW9JApx6HPT13T03flGwGvKFSBBY4wUBLDRFNf
TQ1FPQYVK7S9D1UnNqVHLmQrCmpHz7lqP/SdHL2dG9XdXZJ7mX0bZDWDJc2sBDzAaGGxKUBsT6j5
462TsUg/ZBKsVW+Cr7rLPCv6IABpUSAf5220UcCB75uScOMLBqmuOZtJSeMz72P2mjUd7FYMFhub
19uI9VytcK6U1kqFLuuSsFrQ+Ryrm7Htr9klx1fSIO3Vc4S9ULZm3arlMYjc5EbhIMOkh2/GmE0P
r3E2PtPvXd1UhunHqx6Z/J7dzwSCs8mz694vy7eCLpCDTufhGPS5R12tVvmrG8TWjYEZeOWREbga
OwihABkS9Rbi/3nMYlAyILwcSGUNWky6DjpbfVO0+50qUMHfAk6Oeh37pZfdg+nB3ENhQLMWtsv8
7VHBlH2LFTX0cO8i8zJlMXZblpb7mA8GRoMeOWznS5KTJwtaEFeFKdriPGjuyxBFZd2mQ/EpPFV+
6yHUPKFfgAGpZeRvXCcHS4LVFXNiPGLLM0qiYGHWGvkF8Ul5DyGhzk8s8VRKxrmEyY8fCWWL3i31
5JWhrdie++yUqmBZ4Vip/ECH6W/cVKh7syyyUxGjC+BUD7yvGZu2l1lzB4knrqorL5/CJ7c3yB6O
VKKtsikjrToR+VWoo4eAkMDWCh0LxILojr0U9GSEEmenowfKy8hbNTD1iRdQem5MEmicP7dfx8gy
LvGF4gIfwxbfrUtjB2F2A+wQTWs5Q67oa6bOxgQ0SJ5iyrZR1pVnbTdqsZttu3VumqTPnrCP8KFD
BLUXsEQf2NRE+UCP/KKxyW4FugvgcgijQYAzuf/VIYnCG5ztxnQFTDYSN4Y5ESqgbQRjAmzaQq1a
26NyrcJSFm6GIWO1nBspc3GscC3uw8Z3wlNcGC6DfjH0NxaZ3PBMVrNjngZ6AhjXfeKRWDXLW78c
l+44to76FgnXqR4CuEQjMB+yrwk+dCpmtkXKV94nSwiUBjZYCgdzP3S1fx+MuXuTcHLBRRpw3XfJ
VB8MOdtoQmrcVCIWB+5n+RWlYETZ4XntgeoRkZp6wOgGfXqnNpCqoyfUNs5j0DF0NpLtHPhA9M37
qNwa9WBiMatt87KdBrbdTXCL4INLhcq5bediGm+zqn9Slq7PoUaHX5O2BrzbDtBazMoN76UTskXh
dFPwDpeEjidVVyccmwB0bSmpLiGCpXhbWcLRw0lkuLtGaTOvFN4NsBuR/VVSCV7vKVNhGVy6KZfl
vHPpAKiSJD8yutlfJ4vqzV1Jk1u49Vmp3Y2Un1OcNykcc2IOP7jNcbEMmgGLcz9EeAIwRQRbi/mD
WpbcP58w3F7PsryuPWvct8RlV5lfUVhRzM4JsI8C2+yc17ODkV909yFsZ8b4IjgfIM68csNI7kJP
ZB8V/Qj7Oq2tejfYRkpWtwmoPcSD8hGGBUew0gmOYWYOhwwceLyrxgiZTcZNYiHj2HJX297iiYVf
0OzJ7IUB/aPgC1v0UUwgI7SpFD7HmrVl+V6103tXG3iQO4vytnVpCoeOCHthdGPWTZLVT8PZP8GP
LruGf1BQ/zjxMFv9bASwoT+YZdmNR1lmNfVVTtucFZmR3P/rD6Mkxc9S0C4C1uX3D4P+WZQBK7ej
Nzbk8QBCJWuaK6T3F0/nV1+DDzTWZuIk2MZEyDz3+8exfEN0xDf1caZI7zVZ7vBuNzMRhJPKEHSN
NP7MerakK9nlQv3Fo4vl1fr9q2lZnm170sdU4bu/Ps14CFMD0lx3lE1c7cixdnd43DB0LIeDnhTD
jaq/F1LL6TmdSmyfnCZ6079HUr+X348ZVkigcDG+upz75/F69ErcOnaNzdQ0Q/adydyh2BhDnF21
dEqmbNdn9OQkKgmx+Kc/f9/++ISYhE2Pkd202OM7v/hEZugcXlbq6jjHbYulJo2RevoypitSu73P
PT4EgH78Vx8UlQ43gcX+h8nf/OUz2cBilH3qtzxoOJ9sz+Ys3eGlDs9ib6pf//zBfr+EW74APBh9
XjxBfpOUiyTwkxMm9G1BoXBOscUcG1unER9jauxyc+z+4ln98ZsGgIdjiHI8RA77162fyFurKuu4
OMbE8rsrSVEcN84Cm8vhz5+R9cc3zXZ8yRTJMVGYzq/mnpC9TULfX3bsJOZ7tgX+BlR9FJ5QP2y9
SYUt2r2P3drnlje0V+mgbXkNrJCSP458+vvpr7JotusaHcyH8fv5sPl+VvzzP/UPr4mFudY3fYQd
XhZnwUP/7sU3ZIjvjEVCGkUYdLBFdddjic/v8l9+HJuvveMsTltWxMvf8dObjATb1mGoo2NBQzys
DVJ48WYpCzv7/jj/poXfTxXa3utHjtsnbrsmfu9+1vgs21F8Cv/3uPDDazO9Fnw1f6v+O37853/8
+Jkfq3rvC5hw0/RQ36T7sz3ak1+AYrvmYkqG1i2Xq8HfV/XmF0VRn8t76vHVtX9ChQvvi8uG3/ct
wXd7+Ze/FxX+uCdiLscjEX6W/+Qe6XjIkj9d15ECURmBZzg8iqmwE/xykUgtwZifEvtOekNdccGk
apMOopyu3CQBd9vpZwe647EAF5Ou/DqgYoeoM9jNuj9QmOejhTXQdSS/A4ZX4j+UWtlPYii8S0yL
8mvsBO3FgFvvOOV28lbGhk0EOxyPBf89oOGTT1BMP6xSrU5+pOyAia7VuruEECnuUcAY3mPmdSKl
FUVSys3uRWYNG+Wb4mwpC7puazvdaHS/TRe5GDwrIHNuFSQP6BTtWcOh64FGieSCE9gunsiZYNnt
gWTWgPhpxF0lCTta1yOlQEeqWNsJBURlpqjtDlmWAskpQ5LOdrGPW4hkbI6zjV3rdGurMb+Lu8Zb
4XnuLjXX/A1Bio2KnIqNkGuepJTVhQ0n6WzMTLlzoE5cStFLkDlpetdjhb0oOwo+Es8t4PnJltMW
haNeW/e3WUFbBKQtYjEZh6xUO5cBPdfohSOHtlH7z1Yjbc6pRU8LiCCsI+r0Ksvs5uCwSFl3TTWt
Mt3Nr37ODon+HHyt3PE2IsJ9x44n2wZNRxuaNMXXIK2+cU+vnE3RgXHgVJ8Oz2Y3hg9dHw5PlOS2
936gg08Ll6i3kgo+DmB1i4PyZGKOODLZ5u0utiPzmQ02xjbJAZvCu9kbX5KpHoACBjK+LlQfnGKF
k95nvN82FTlEml5mFW9K7fsbBv9JrvmMGGptAEQpV5WeAU/27O+taSRD1uP8XJkl/KumLYuTnUuD
3janvssm3hdZ5yYuTfLHIwmQOWLMgoVgX6TkguHFFd0j7nQEMeXrR2qt4wcKckK6wI1b4SbVedIP
4hu4ImeVkwIaV4muYaEk4TTe4If9iCL1QiYnuKiaGc4bILVzkWEH0QMsm1WX4PRbJm3aNTyvci56
TLa3UaksIDztdEZQ0bvKK7DvRsrUWJAdGLywP/UYK1+bVpMrEnI4LMusUzNV6RGe5FaEY3AoGfWx
3SKv3gy+Kq+Gbph2k+uOZ2gTznNkNy7k7Lk3njzsYg9hlaXHIh2Gl5z70+sQMIREQBc2ZavU+WDX
7Sb2h03qOjfxaNW3dj/ma19n/SvTd/3gjMB0mlLbz1Vf0eyte+rAJzvwLFRlxnXJIjjCvVZXl2Hr
YBaFdBae2xGMPPKz1ZUzxu11rKrqkUJnfDFRbuqDqNH51mZepbskwDPXm1NCaRn5NXB7tASnXB2u
SIpQk4FOx99roh6jslrDg5vjK6d9a9rQzVReBF6Hmtcl4iqGFHFRFbgsugjNpu29BlGGXq0Y81/l
XqRRSDiY9bP1ifpmfSqiFZ/adeoLYXFaZ29ez9baIYGx7WFEIcm2mEnW5PyGr3ETFfUeToiZYUvU
LJH9yfI3OUxJoNx2wnhlo9hvNPDvCwFDdVtmtrnTyJ+4Sr3OdDYVcqBaF0lUbTvb62PSxYa6pNob
o0nDpfjZk5gyVgG6NyAxZxEQpjk0AjyKVAESQXaB4DWkp05wOwDVyQj7E+l+fTMaffHRUu42EngO
xYtsnNFZFVUbPY+lsuWKCyIBQJrtPdo7M6G956mQdJpHhq2+WgxemDet4ak2xYx7B2uou0J7m47G
YDrFvmPdb62pBTPewnIUJQaMynvSkZOrrY8749pcGoTsclou2kMwcWEEWoJ+DfpmR+Rz0nslzJG2
BuEbz240YnZJS0gNK1YkiGLsz3LSJ7GomrWN++tyyJI62o5jZ4/bUFikh1tjSJr9RHMfDi/hlHex
22N+xneC5I861r6ZzewnK61dNwLh4IjuropMg1jCnO9A73YN3QQRCfukJk1nhrBsyACk+jkGQOWs
0fwJYA6a7M6yE47wyhouSdjWCQD3ZFZC1yPgeXhgqXWGxd09WlbHvr0luPytMdziEYxIuy/pncvW
QjoDCbexzm5jYISPGtrlRebLb/VkNK9O7N9KIFDsxwmH0yuUle5Om7mPpUGPL5Pq8ZBK3bsvUput
AvScTkfTDaEaxl7m7kOr926DVM3qGi89Lk1KxS2yR14z7DAG8AQaL+r2aeZ3cuXCLR0oRcqTr0hp
4zmI0PDBZNFWs74h2lNZpjmATmiGT0txV7F9vAZrhkng31CvL7CRtWC3pcUGqMu1c6SHne99wxfh
qUJ/vocORFQo94SxoG35AJaRZElE+WS/D1i6fNUAoS/S3GHaSw0zibcF2u8T1lb+Zo9x5Iy0oCxY
RsRQzNrIb8/KLKsflZvk8hgDDqjWgUeAeo2dkrROg85wwsiinw07g/pgYB/xVk4fZh+10QOtBkE6
XwIU5xvTBVb2mBSZPucaar2aVjc9AkcErUuiiUZVb0649hY27hh+NXWe5aiffX7+pu0pT1pFqT/s
2cYaz3XGHUpMyvyaF7AULdLm+yAu/Ad818ZXs/KzG2mj9gEqgkEQdXZ+YWcFsaIS1eaTi253BbvO
QglLou6h7+XUbebYLl+MtKywSFho07Vd2XdODKoW1F9qvBWoJBClXBPn5OgD316LQHFUwFWXveLI
mTH59n2Cf7GbyEwlOODrPYKZ+dTljb4rC7P49CKp8kcL6qEEzTR4twlVF+HOG2gDafoElEuXlum1
H1lsNDqyxZSEhM5wHpBAXYFbjm6GLqLajNQ/Uj4SGq6m7I33im6keVTVw9B23AX6jvu7tObbtImM
apXizmxWYW3xBUkr+hQNL8XIJ2rDfKiSFEgZqxHv1OPPI4AbkPo54BL0NYQ8QY9Yqt2w2wSR010t
8F4+np5o47VIo+ApcPH65P7Yw/fOeFVZ+1UPuh3dm26IffZjMe970rBMRkKaL2ZsLFSdKtneaguU
36ACn+dsmmLnsvDkGx/G+TEmD3uCGG/Xa8kdjk+GMxGdS7S1s0pLw0Xv03ibzCZcKsZGKJ5Jk1y5
dGOx0lKFeAVKVT4YtQ9IyKJT9NJtRl4RP0trBtGRV6iSVXywxlC9pnFmvxPD5M8KAW88gF8deH2j
CeSP9MJ3xXn24Gbaf4BLyL5rrg0ufh3e7dlOLrLJCcaN4WTzHg4MHiJbVikNUxaFr3liTt6+RA4/
BcDdz0fZYWiikrVLNnEctS8Dqw72Keil37LKzz8DzEBnuAfDNxpDp2kdtrN/EqONM8Y2j9MMu/c3
1ejfQ+NfDI3CtfFr/MnQeK0/9Hv02TTTz3Pjjx/7bW5UWLLJamIZMR2My/Knginni4NLmwsRHznx
27/8mBstfOFSUCSFQOL6kJ8Z535YvC1GSoHS4ds2HzeUgn/JUPLr2Oi6pKuki37m09rtqaX46SfZ
wan8ydSVrkmcOM8BZSlcMWAkhdpbZ0uLNC3e4y70vRMFc+8/vVL/ZGb9vQbkyV8f+hfFQyQWs5PZ
YljA1rEKI3ipEaDSKg3ehhpTw58/mvhDhZUwPcum094xMfAI8YuQAy02cTtW+bueTTgOsKAjOUmn
3ahEupva6slkm73nna63WaY5IHm9BzmP81/v6ieMZzBB5/CBbO81fpoL7ARr+mMcLkrBY72M02nN
tQME2rkFdmL75389Wepf5nvys5AvkKAknxU+UMsb+dMbJRrql92+BgdOfPCAwpu0q7IzGhbGNDUZ
3YzJpZoUZD57vPZp+LuTdJ+KsTY3oARakrr1Uzq7bAKV+WzI4gSMey/K9C30enJaeXzsakK+48D/
V+R0rRaLty4c1B5KW1Gv1VQfw1qY90Zh4jWAlsA0k20muL3efDPRl5PQCN470a10wANNw1uL5zsd
oi0j3wZKUUdaO73BbH5bZdOdrD8mrCUrzpIvIxvEPeedacP917soadgmLsncxIZm6d0D3te25K8c
xZMZC/tBNpa9F5kI793UvCmMDGCbzyPbdZ+dGLSmV+iWXFL9ZNyPTBRk5Kjek3VheisXpuJGWjpm
N+3hxs2GGo9PGu4YB8eNYwT+mWTlc6LreF5JsrUgagKJOa8tyMSW6sVmTMbJF5dXiBI0FvgVrbbw
d1/GNICmPUTirXJmcCm6M89663wQ0XA5mDPLZ5Mw1Y60ULlzXDGfFWyDWdrP3LwKa4fFqvqI4+Qj
DsGDMx6ykhb1sJPusiGGM1ZO0Rn4tGfGyrMaE27Yu+C8eGscujwPFqPwuoIoexjygCbfvK0v0Mu3
oy7vPSq5/0J1F4ue9I89ApAHx5TLV5j/4bEwEb/40LB2WHXVTXjPsqwIsdjMJWS0uqN8oICjuV9E
zntGg/FEe4TxEtFFWa8qVfcrGsVLatrtr6Ng0OyD4nzQWn2OUBfv7NTM9pzdl+7MBWtGveojGpK+
8Gjg+Pb9O/Xvm9pf3NQQKG2WTn+ihMb563v0mv3tunn9+Gyjn29tP374hyTqfzFNhamRLm2pTPkP
r6THrY3cp2QKsaX1m4vy75Ko/QWnOdAgz/WUEIij/3Vrs80vJJpc5dO5yKdq+adfNNA/00QxNfzy
GYVLYfkW6SnckkSrCEP9/prp0ZhOJTutZbiSNrHXTjXsJrwplTHV7xyzOIObkf8w1A6XOWOAhozt
euMNSXCEei0+mE2LA5MUvhX2ITr38z1ggeSFtgDQvbNbkQru0vq97syK7uia0OowhZcwncdbRWJg
V+riu+mkaz78gozMGLXebUVn+7ClglS+B4CZJflNN9phZdpNvr4AzZ/BuwMYqQe3O9ZzCH2bOpzJ
Kqj0qHy6zuL6UPmhfoIz73+khqttZKEp2DdGoHd2wV2Q9G02foSxDF5oMdNnc5uIjeOO3X6m0eXA
WhI/oDC5sI613oQig3AaqyvqDgfSJEl5KPEfb+pJoyfUkhmfLNj1QAJ0yzUV33eOnQs8apEQtQni
6mtPOcZnXNP20ZmGfVYrfT+3pv8IkFBd214tLbgBWEYFSWwGlBiy34ou2sbbBlHLtDTlSb9X0wQH
ohTpU0vz+BmqbHdWpOK9CfL+Ikjj+BRHsN9j0j+EN6roaE+ttzYoY3VWYerFbxGOzUcRhLSox608
hUCx3oiR03Qwto7xrZ/c7iJnTn8qGbcueMN5ng4+xYDQRMj17hLoBE2AnnJKMPYZuqqpvo2ShmfE
CTzYWd/neNKXBT3DAO3f9NbMGWWOLM6DNR94yQtlFHcyF8kug0lJf4k2n+BZMyW6WY1Doi83lU6t
RUtuD3gl6g3pBZ56uFTZkGte9b0D8yD8X+ydyXLkSJqknwgphh24OnylO/edFwgZjMS+GWAwAE8/
H6KyprNDeqqkD32YkTmmSEYw6A7Yor/qp9rOz2xGLwG60daF1faEVWAgJsDVbFhS+31CWDwqi+Q1
kKJqbQzMSWsEqabGiuJcaekKkFkP1tC3thZCwa5y05+cBGLkiLp1b0xzzE+YNqEhx4IwsqguulnC
b7d1kudpNNnVtF29zJNVXgVp7D1pOt240U5hh4xrKI4bwrpHshc12C+D9oTGga3sSNV+9zCkMNeT
fFJJu1dtbt0sNr0xufamG2QklW480jibTITlc0nGsdtODMH3RsVnFuam2BqyVh+LmzZnIwjaB4Qg
/wzSLdjPWsiNPeXfnbPW2VAP3M6+/1K0EMlQK8aNNJKzK+d8q90iPUAUrp9NSkBvQBcACCa6RxUK
ccY1pJQnNyAakzt7MR1GDvbaBW8uKLS1luJAnoxu51jMkQK6GPn4Y34ES9GHtAsb3dFwpbMnshbA
py7uFtX86M2JXpmYXAZBAUsMxl42mgAVrQsB9d9RKLyntDO2iVlbNOStzk8ON8b2b2v1f3GsttdV
7e87M6uexd4MxxxDOovwbydF2tV8aFgsByhkVkqGusHm2tLIl/I41gSmCM1HusJI3ddvJTzadI0b
yxsHmijszJgCxWEZ8ZZVKblrqBHncFwbyTAskXJI7Pqt6ei07n2d2Tt47U61GwZJvQuyR/FAQpD3
ufj1btsp3pJTzXvhnfp1XdDujHdbj7ZT70AGFx//+lenVfC333117jvrZJlzMiNz8duKPxsD07Ei
EQfTTWifr7CKFfajEUwfXM84VDaFilw/6S6gQGivxEePxRU+Fk+DbKF8G4kryfotKWi3eYnxp4E7
2RIIHH8ifyRPaTXNJ7/TxzW61NlLN0WWkh9BP+wbyH0H3PBXHEyDqCiyH103NaSazOpuogDjxBSw
22JVw9Nq9umVBcUMZFgxQuqFYXOqR2l7kSjEQF9BYUWxpqAMkEV2cMOpulO+Dj+wL9Uf8yjGvfbg
Vlt4mW/cZO5uyoQGjlSb1aEZtP+GlS4+eZUd380kYB/4T39PiC17y007vZpGvYBiGAKCh5570Kpd
Do2n7YsV6PmUkK/BnUjT6D4ZrORxxmoDq2ZJ+oh/tmaqVqQQR0LzgK/JA40Pl7IkwU+pNmvkTvax
fBks+mYTuHUv6FbhtkO3+9MTIcfEoSjOwAxBirRufkaJTLxI9Zb7YgyudRsugfFo99qCLxom7C2B
aH5S9De9eEbjvbh+U99R2CrvApDYVwKwxZFcdXqJOyGPjONOFajxYUwDkBFyADPZTwBzlMnUR2t9
P+mquAG2rYA7lWYGFZZRYzkr6lnmTj4qCzsbSjrqDTW9Xw5F7E9N7JAzisvndMhpauSaBTF76Jfq
g6CcviatSkeCHCiRSvvpXGPkgzZR2HvUoOziuzPyq+TWvZdmPoPNqYI0EnJsL36r41vE8fbeY1Lb
UdiezCBw1luOY9c7KXF1h+NS3CmdNtcegeBtCkpuUyV2ewXqFh7/uoqUXcxxxT/hgQXvXd/OFqZY
lLJOlxWu+Pl66oEpAWDGXcc2Ec0sVf26ZiUeq1e8rmN2YqYQ5Azjz2Bd4UCZEJyV2Lo0zBMHvBxG
vdI9LL8WRvVrkWSlcKg7YeWU6xoayJR1psyshYUgFQOEQtbbeV15p3UNlpYzXdW6Yc1tLcDTdTzS
2KRnVnS6qx9Gv2vOizDVh8vEZtvg/UVxlta++rUx5OseAdqXrEBpgmkHjjfdkN/KjKPP1CMDMbhu
QSIE8bQJjXlgIGZ2/tMsGvd2BTTFW/Do4TeDINpSA2Kb7qEXgbwyxrbd9+s+qagv2IK/YQet2yT4
0m3uslXwTNvsU1l7hqM4soZScHRsYuyWMe0H2Vb+2tIJmvDF0suQbvHpjnuz6nwSuz1fkf/r1DCv
BwiDk8SyHim44nO4KDxNS4vyXUKKnDsEx8c4TLuI/tiBptcyCHaUmkznqjTpSguN6RS7sDrhdVaH
lqMP3KUqP+VKWYBkghRqx0j0tZ4aBf2pLIprF37RyR4aYjbEO17B5Tg3xF6Ch3o242oj+7TfMz8O
f3YLOeeJQdWPsVTjXdbP2bNB5/hjzISk3yZC+achoTsZhroxbStmECioBIdBjqf2jWfY6ihptbrm
TDeDWMZdt5qZLfeuwjR/1cZtdTOoEVd0S5bza5Ljm2Cot6VMc53WQH+n8icwDwHS8BPZvICaOcs6
SYMELXoQzLQkZDhDBQEmSLtwjDtumvbJ9yYIlXnj3eHjdKPMZ+tCTG2eWpiJ2aYR1L/aRkYzWUUN
Hnb5MaDu0WxVVIZT3l97LeElb9Qh7WCZ+JrCRf2wm7rlM15wkHEgTew9gC5XbDxGOHD7qdJ6nRnL
HnDu8xbjgMuufK9liCID4yrsRn2kZWm6yn2mSqu3EutS5yX3GRWC7+YU3C046Z7sEoP8hHJywMaZ
XRHI7sFYOoF3n85W8ZHb9NmQ+nCBGMhq+EoYkHygJPQ74TvlLmwKYD0eFW1YYnf8i9zdUNXe2SKY
mmwMfyjZykV2b3QrVdguGzQidA2QBrPn3K2tzzHxh8j1cmJirbfGlX4Ky0CEGRoKy1kTbWPbirzZ
B9nQ7Vbv1lvTI5eNc69oQ0fTT0xGpBpfOn/YX06+BT1go1fWe8CBfYfngFLt0LsKhfNnRVB1niiG
YQMruSDFTX2ibCjgbafgeFPnXfLAOHs+sPJwsI4LQeIVrFDRVC+mA5rA6Ux1HFXZvmrXzV/hRMif
xS+YAT7i4zgsH3UoXmyP+kfMH653cp3m2vL0bc5YlkM/eqai42kHP36peK1+oRNGqq4YilKlfpbo
+6fAG9h3V9gCgypimEOb78Ceze+ZwXMqVjzDpA2FEQ1kgyVJUSVekGtKstZj/VJDd9CTWqIJ4oNS
aXwInc7Ye1T3XjJZZed2JsxyVisuwlvBEZAUYEhkK05iLHC3gL/pg0v9izcxrugJ2NZM2xe8mBvU
RmrTVkiFXHEVYb6SK4zY9bKtvwItmFpnn+UKuYj9Vl5ZK/giD4j+TyOwLyIG+ZmI1rBWomAioVSA
4BHXkdsCtt2xlv6yo+GtP7TxMnFxsm2wpwwtJ3TpQ+by8ydR+m8VJ8GMduY5vKacfN67LWUMtqn8
j7TLzAMdevkmDgxE3KqceWvlLOAY1GSJNm3Tg2Pu37GcXC+++JN06wAUITY/hxEcEzYktsf2qS/W
giYLBumDlci5giOdLd85RomNnQYv1VBzqFbs7YsFAEyPUh8C0VHpmdrTQayVrhm+nBe4w/QZgiRN
6ZsbJUsSrUOJY7X3rR9DfWAr4fkuyT49IU8sT5CF2jYqBKRVrLoXUaSYYRp+57uybqzrnCs7/Uz0
TeCLsO6VzgZv69BmUh9CPzQeXbbqO9us9Z9O8RX30O11OwHIS5bUoxBpdo4yKzgWGfV1xcjKEeAD
ZV9Sh1yX+YHOzI5VxOKOMfXGtnK/Z68q831IeoXA5UzQX4e+uW0x2gya2SgHwvNgEdIS6i0oPprl
YU4p4XYYU3W1lf+Zu8lNUVQ1yYZW3Ptu3L3zfLF54Za41YufnMu0RuYeR4bcWYkKAbvcoOiBN/p9
cXv97FWh/R6Lwn31cEdEg+idU8/s94qdIL14ZWxEQZpTyxKXlDMaPYeKPDkNMmdm5me0jZFwusee
5D1QIzl/uMw64XknFeBFhxhn7jk0+5Efo+AOCDL7qT+9McvyImaNpr0aydNj4rjVqcxQ4R1mlrii
wunRUnF7cI2G/t7Sd/b4jfOjg6Wd/D8n2bmM5x2kuOnIGRKQDKlK2GLSFvGdCzThBIOTEUapnF1B
GdyzzDj5jRb4MyaX3TFwZHhMyjIlvJnNuOtjoj38GyxYFNWyG9shf+vGebUFTUkS0Tv+kJCNqDdk
Fpf9uG648JhxmJjFc2nMLYSqXh2KuOVAVlBxQa8jd34MhU8h083dotrmKmfNgMg+02PoZo1vRUNp
aHKzfcEbWNSCBXuhPWdNCuYb/ilNNIQVf2IcqiGaYxTwuc56fFVrYVpS28cUPMchJjq47QcSIGTQ
qmNtMbodQEJvzKCgSDhvWM2IuoFqKOj5VIAvLTOOr2uG8ZAPvlyEmbwQpwSTtpnGZ1nhoLCKyd6p
JmU0TQ9HSvZ4B+5wvkLhq+HYhQ/cyyMrLDWfbQX1xAMvep2uNVcQNfwtOsGyyyaXZmkro8lWBkV5
TlGU+Qhi86RlYxKiHXMODH0NEQtao6fx2gb2bEQQmM0WciHWr5qCmG+rbIr3OnMkPIrCih+onAmv
qQko77irDGeHAo+TmD2UJcxK9ksOoj+iMqt9r7y1p6gtmzMpqJz7X5sfW/wER0pGS1ixsrvUjGyO
fQaGGt48lQk+gBInXHD65OaBN8x+Hriu3Q0GrPIae9Iuq9A+Ujx9pkhsHGPFubHcq6k/zgGfp6rD
d2TrCDdM8GDVY8jU189fCK44p64oy4uf9aRPeAVppqfVxfa0+nfzrv/qKgwiPsACJYDAhr/Nu3Re
W3HMNPJgzHO/c53c+yEZGWSbzq2DEEYo91+bEihSJTUNdBLPRLNN09agOKGYvzzwIHJXOm66m4kg
MzBf9Uo0HdLgCoANra7p4hhwR1aFU3iKirxgQiCcGy+4ytyG8rqeG6IR/Y+o9v8XAcVwFf1roNjt
d9ann39X4f/6I38NmH3sxwLFB0tJYId/4zYH5h/r2NlxTUHc4x/6/F8qvGX94TJ4Xs3mxBhwLv+H
Cm/6fwR4kok3hCZKCkb9/44K73u/61G420hJ4I+mFQJv9C+iwd8ml6ATO4pmUPd4AzFFNBWr8gbh
TFynvkwxPRHUV60Z70IUSgp7yiq+UNhV7uNy6s7U+Zj4QgVNbqOdUV4Sr/M2yxp8BSuSK8WBfi55
PZkZK3hITGiXDFjzWKg1MaFw7t6WjLY4ZTV0kthleoTNLI+qGjmH4HA6diCHbjMwaAMxvGEMt67t
qLXXmWAyIzdHAQN0AHaerKB0zhkd6HQptU6/i8m/X2NuKzqS5pIrA+4W42fcK0TQQJvhVxbKIBJC
B9cNPe9X2GJFuqmKheGXa3uv3EFpeTfRDZiyt4SwMQrKEa4VOtMWoDSI5aF814vIrjOZPcV0uuFj
rkbcpJ78pO8zPTtWlz7g/fUevcUpV0SsdZgAInBZyPDZzHUKWt4wuMULIC6SFoimXnYhHx3xyDyN
jI6GV2AE+kESL6N1KbgOmqk8W8kAgbhnyU1ad6O8JnuIA5cGCrMtdzjA5o9pabxL6i5U5y0Qpsso
IyHHcTWw7atiRRZEvbCxyvSqJZLelJz5jXUtJtNHMn1TAmdkGjhp6lRpa8DKmCzizpsZm4RjWYYn
moYsZtb5elS1p1luqG3rPxs/1d1Js+meaRm0JPZhVJQmqMjwVl1A22clGemfdWvSBgNfIHW4FNGR
QM4vCe9AGIN68gbfCfb1DF6mn0j7slNXwGrigNK7hKqzbO+BwUcyL/KbJOytm2w08g9jJOIZ97o+
1DmBQn6lsXzouJo+t1yrd+4QTBdS9uPtYJJGwhY6cmd1pgBXk6Xl+BisXU+bikHBq0LmeGnAYLDb
aGneAw/xbj3LGautK+PmqKj6O1aho9tIK9LhA2H4r87N8vueG/fONigO3+XZPCcXza8E9L80m50L
vSaOmENnD+RHgiO4aRoHi2Tac7eqyiguxubYtX5zXVrlsE/GR64yiKF6BOqTvjQaKbMp5vFGDXzG
Zu/n75PfqTu3kWPkOmm3CWR9O4ALteeZflM1LfdFV9Jr1Rl8ZDDUIiqewYqXrl0dSnhXvNVE9alr
kFwb59rAXdBKSy6k8qF+RkY7uVsHqfynn8fvAxfjS97Z9bXuwgnrP6FVcmR+d1R95VwarpFXNcOk
nn4kM77NewBP7MQMjykol5DItElhnBSZf085SP9i4mgbuJKV/nUfmvJtshw46KZsBzzdQbP2bBE4
OunA6tWp7hIvg0llB/OHI/iSHvsA+FTv1s13ybaIa8LsPK9lak20m+NRpzLz1UjSaTqlOXkRRjcj
N+DGdgp6rL04Di9106HfurOd8VU0BSlK5WOaJAABLEKY4/ycBozYXDXg87Mmp7pKm6w7ZKIosOgB
uM33xEEtE7yuLYqd76ryFfavPqhQcnJnsX9RXagvpj30N9h9a1LSJLvAMHg+RLxyEt8+kwAGfHF5
Da2s2I+pQcUvOAVvU8+LTafUNH/VfWy+l3IqI18O7nHiLWKFbamby4eWumGL1osSRAyTOXL3zXcy
Ds394njxz9zoSdL7avmWehrJpwr+YpM8e4IcvDg4LxKimk+ZQdVA5Ph9kEQDHvrpYe47fyQagfmP
Vg3+11NCUGM71JLhY4btkwS3hZliWyldldd15bfWqQJFWO1cK+OgZBbJ8pQrx6LJk+AurHWO11QL
cZT3DhZk1xHaa1hcT25DVa6PkNOaKV6mRZnAIAmcH+awWVAM15NumdyWfVVeZMCExsDfSwzeQXqG
6cr7qvv2iuvlQjNH6OnDPE3VdQLB4NnNuuQyNCEIKASC9kNJfh1O/LwSm14jbm99BfslMegz2nd+
haMPCcTPj0VSazqIAA3/ECDAqdcq5vCLsRA0/ZbuOJpP/JR779yJOsRFsfIQRTVj8+OA68yQ+Zvy
off93tpxW/TTc8wIBs1EqYT6ZRb47Jbcv8Tay8DrlC+tc9Kt5ejr0mn0kaIG3gJS+ucGYNpRw+kI
qWicpihvWCaFTocHf1IDcAMpPrtheXBG5Gtko5gy+6lw8IYZXAm3Qy59YIuchbELLYX3KZNZlFvG
cN6rVK6iLMFr8+RYMEpKd6rzFroHUlFieCHUHolZQxQ3Q/HsmoN+HMKEyqVmnIdHzxbhueMd3kyG
5TyYfee8kpqoyErXzhVj3IbOHdDrWtMdH5bOFCmPoWdAt/ISLlfWwAu7AV23fFdlgztX2atlmDk0
TSdZWvVGVPFVkrnvKjnvOaEa1EWUjv0nB6dZ7VsjqOZ7OxHps5uSp+Bvp7qyMCsvOeD7pV58ylnv
SIQO7VXXhNjTwQgMt4ZPLc4GeSd8bcuwOpp1TrlewZ0fsr1hUhYQU4cwbT06lpxNVUnuYH3R80WT
hMyr2x75c9gFY1++rzrYrcwNyt2Y7wAkkuNcc4agoGor/FK9Q+SuKNlaDFjR9BfS0OX2jz2H8c/V
/WZFrur9bAfVn4VGVCn3ttKCJW/hJr/lt+6u4hT39dFrBb0LRar6nz39CTaAIZ0EKDmh4x+beQA6
IJXtp2vTJbfNVKQs2N5iGj1A0UpjyREtdJx68FAFXbP9xm7kFtzwR5AIKa7oyNHdj4Dg/rHtuKkq
Z1xoDpyQiqLBMlxYzS43bBKn+areieTdjRN5cUU+vhoZcI0NEIT8ejSb5wCHhgUSNkvIVBHQO1ey
h3dejbnaplX9Da6LkJeO5dtSk0WWXcF3PipP3UxFi/RMCGXYxA29xpXKMZeVXlDMe8zo3V2eLVDH
gZdQslBisqacuutIF6hCYkrEhmHS+2StyamKhs2iMPMEryQ5GcOBLaOgXf6Ep8QFMx512ewa1RBF
yZYVWjIlVbcFQtLSYWsx5Np0vbNye2yPtKsFIn0E1/8ydtT9AVuXB+kN1qbtKCc2qnnZLXN64EB6
LARqHQ3Leb0H1dFGaJkkHIqJe7Ed6Gaj1xZl0fssgVlV9K/4qQugTgPt7FXJelLwVF4l9F0fh6Rs
Lw05sKeO7lHg6HG1ZX424Z33yjLqpei+EjrsMqqLUvvHVDURmaNdXDTLOw6An2OGM94A6XrsY2sk
ojN7NDo4c+BuQtV4zYHy25nyEOoAD/OcWqsvUYo302E3ek27xqggTtnunQ1BfI1r44Gn4h5fBKFx
KEM6VBbxhrAuvqgjm4BzsEBstdNA9/GC1EAQacL2KNkuooE94DShYj00YaZfYlgNG1eXlj70ECyU
QZHdaPmpscHUmM5Ho6+CCaxCDQGUMIt+QohAGXE7/tG2X1RfcNvkm5UVjrutxsL4KR0DKzx5c/7u
KZD3rEAA4ZWwaYAsiqYnOqPDiyPgV21x/YZ3SELyUZgeiMHYg9OO5F53Hx6DCViwbY5syQENGk8w
tT9U4vN2+AOoozMvHgfDrE6bz9BT/ZNrjvZFObZ1V01m/4yoDvvTbhUWdTvxZvbZZHajMTPCg2M1
05GnR6eAZ4X6dsgTZMdmycIzrl+8KaKhShlXvcYaKOa1tD6nDmdjrTpbWVZIrkbvJ28WBj/ghxqH
K4A3vsChsQeEptowP5m9qCvT0wnRz2odigfrEWxteIvw6VuSw4GNcMSZEM0qnPvLHHtywZQ6t8Zm
sWIRHtLaqX6ySOSfudb+dRkICsjmqat3fGYC/0qQQeQczBSeKkMRIBJx89J7+XjmZSVDmGkjGlvb
vKKTFbGNGRC1AkrvWFXRoHwg1li7KIzdmF5upxTmzvBAkjL8TsKWV1umXvE1KTe/yNYNcUxmpD0x
0kjzy1YZ/l+Bikqjl7XHPmvCW63bXWNNZxkDHe6WAmYNTQi3dr7Ud43vrZ1iBkPrsC/XmVYD5FNC
xnBZJD/DEoMpLWruR4b09zWVXUVRLMiu6zms86/Woop5mcrkUVG582YBAHuEx8D9z2cPuWEcGeuD
ZdY9QR7fonCSF4vAAxE0mK6ZxMbKa7GbKj0EG2EcSVzOET3kM6AV2mn4ve/RiwN4ZS0kHOWHPr0K
Ne15ahrKlz610+O0cLhY55ZLGqFGpt+e3XJYbOJg17l+dVj5NDhhQWefkyFUdx7l1Yix2njCuVQ+
sl50l4S+YKC12iw4uqQEUDUbLvz98cnSwFn5QmOuX+9+zmo7re0+XbM8/xufx28uD+LUIQB0n+Yp
YIjeajv8uxc6sPlg7XZYDoQB83tYx8ONk67I6Nr0r7Kl9A/mih3/1z901cv+bqvxCH/TB+kHoBzx
FdqrQftvMoaVmc0S+8V0oAWtvHDKGO6SGMnMFnn61C4SF9g843NBYv35r3/y7zbG9Scjm5gCagct
x85vxJDWdbWPn3c5dEGL+kab8ggayDPOcrZxEMNdqb//R0S2//fY/gLYg+/w1f6f3bFR+lnjwf6U
/9kX+7//5F/WWO+PIBCYkfjCVuVtxff/AyO6Iv85CQkQcUhrv4gA/3TGij987KohsWp0kn8Ief/k
+os/qF0zefSARCDNAdT4bzhjzd+fZcFTHBI84f1B5nOs32xSlKIT3Kzy+eBRpvhcdY3/BoEouQ6s
OCWGFcrpfTDEV1yY8mcg7fpDq57i8BGHz87pdbPzRyrBfdcI36TJcW+s2mRrBln5jaFHvf7/h3Gd
c87/xqfNtvuvn8SHz/yzH3gc/5M0/I8/9ddTGKx1EH5I08c/n7V/PIRe+AfPGPs6TXpcjn9pxv/x
FK4sCS5+aE6CWBKDhb+eQsv+g6cF0di1bRFgrP5vMSsC7/cMAWvaurQFvCM+C6v328LWiHYy0IX6
vagYfR6MeOrja6t0sdr2zOdPBAngeHI16r1DmOfgbjtyEzX5/6K66WW4okMt3L4WAELAV5N98bqQ
WjecJzAafS25nyzaJSKRq8pSl7Ai1uzn9khWx9fDYWZISO/W2C477lCGjhSG6Wslkaw4StfeiVQr
QxClqopAw5wX7wQoJ701IQImu0DnCAh4FcY+EnWcXKZg9L4I3sPj9AmgTsCH7pbCXK47iKa7ql1o
PadcftfCnHgYrbb7MVrC+JzrqayeRRl7XxWNvG90b1ARN1tqFUddOL77xOmT71H4oF/BAHUb4t5k
dvDTALT1x2p67AVU6mx2pXURiHbvEDbibbvM0ztljxNBzFq0NxlmNLGtahM7n1cPC+kmy6IDvRwM
e6EqPUG6GCuMJfTVrAlQBovtbSXNrsAVC6WiZUabfIo64AKVNbNB9zTpMG7SyOM3HrGl9wByIdXl
OjW5FZB8vep7ezUtV6NatoaPjfQc4CTBdc4tDTSHCRjbGWr1qtTAHdAahp5foCgZHYE7rfYdKviX
PSiu9lgg7spMOt+paU7PoXJxTKk55pKoOUlSmbrALbdbPYEJ0O0LaZ3yMMIEZ6rq4vRE8eo4vdLv
6r6ktO28dF1bJNtuCTNUEwhsD6aX5B3+tX56GfVQ3oERSO8LkzvKPp6H8JhmQ3+wxZS85bQIIflZ
Lkb0bVariZIlZLBXmn5GCcpQm0bESdUw91xDZmB4zph/uj0xKOYTRWKfTU7l3D0k9nsmziMBbCHE
U9+tmeAYtkG7IVbcjRHmCYoih9lnHhHOQf+iCNwvkSr19E6WLbjkWUiAmDlDrHYjh7OWB3bmJtxj
LwvpMctq+0CnAL5Upow29IKuoitBNMZ4AIGnLiir2Bp6HcBI7bnDFSk/1ah7OMzhWC13cY4s+zAl
0DsULd7HrPPsO8Z+w3kaBRfWsq9dkrNmUL/TGFOcfd+IDTCu0vuBn9zf0q0ZYIJW9nCVxTiQmKza
2Ua6td6FdeO9h3BrqY4yM7OLGkUiGLPDSsi1W6vck7+QDIInatQamaq9aAS1JHoxbOjPekgenMVa
nY5pHr4JnXWvdMkHX94YOODaR1x0wuAvz/VcRDgCXhWAmDJqbE2SYjCdTx+mpriFCtl4CGkAFTch
vvTbjgKZGXVbOVdydFZEcjnG+d6WrXpzm7T/wvAY0CLhA2s7SNaBfG8Vi7KPxWzNxBBIjOPfQ0pW
G66ByHNwNMnAN5nPICklzDlGk4dVMZpclYhdVsA/3HQZVtJ5mRxza7UWxtUw4OBNBj3gNcdQOVM+
JcJCIg4s4WfjGNknEDcjPtL1Vn7PHXnnPEzsS80bvmx80ac/pOc1Nyu85DAJsbykoWLyi8MHWrOq
8ttg9j3nPC1eJm8S1YwfxlIz/q+pXTNFE14opUyeeaJyHIkhT2Utl2bPZgITTs0l9stAaNT2lY5H
u5d1QMWrCb/5449cIv3S3NFFczrjEkkn7gEqN1V/rgZz9C4JWONHFhu3emLgFH8GOTANK+GB2Ht+
B/0jaYs3ah1j5nsDDLuNKCvjtROTgl8aij8xxCLHBjk8GS73XYntxF+5YVbzPdhdiIGiyyxxCEiX
Bi8ORSBr1V5lUyrPSMY/OLXkNdOOK/poWNtmrmm5H45+3LhPAdwBc2tqhfK2too4fT/Uuz5vKNhz
s48EWu/Rxue6GaxWfZaTah+VHteuSC7NkDuMR4flrOIOicId6YKya8LipbVT8zJ+IuDZ3jGb7Pou
LAymVyOXppNZD+7JL7vlbSh9ykbMRgc7E4dVfZTx4GSPwqlggozEbF4o58TKr9Kg3DM0sk/FZFGm
WjhLy3KkhfmNT8a/Rci1PwxjrO4s+lL2NoihlzKZguwOc2nFgmIlrrexXV1/5OARjgjuE4Y43Wbf
HlpqlGbwznbGwhwmoixO+0+JocY/Jz+zmFBVVffhSgeL6wBkJYWdmagIsaQZomyKyV8kjV/tSkCp
+DBGsJu46eM7JUe4x34WJzBaBwo9N45hMgOlwYqNu4iPAtPj3qrCFS0f60cKj+A2gEA+JgpfaANj
edOawbhrGUSSghzUez/3axFp1dAg7jgVHZzre0jPeOnXFxcz/e3QeQ+qpLna9rrXJmECECdQR/Cl
BXh93Bj4qISkPPXONzRgnC9pCAjbRa4bxhaa0ZzRvEKmN+78n7BwvobEoTIwK5vtWmCFtbDP4ItQ
Ouy8wsHtgl1DqxBdTG4fIoo3jrZPDnqQHc0I/e1JOzFCNQJ240Q2xdvjNiln0AUJmu6ynxhATJsp
Db6bpgODbZmD+ZK2gYFPSgyZe9RFGUw36Gf1d8z0F2kOuEHkpCVtvwyRm4sz5POeRtl1xpAbO1i1
oN7Tcjxz/8cQzwvR0/mR5admoNgxpfTloXDNcu+OcbmNx7D4gfJn/Ul1wPAOMbHfTsvcfxmdDap9
8RzKUTGGqo3jxt6N7zVMkUJdm7uiLpd8I2RdeJc5bwzj2Ukz7KexHrMmCtBY663VZeNy061T3V3F
AwPCCRrkvEuALJm7caWItStPrDNXibicbPonATiAHyMvnJ/Cxe5/BmvGGoM89DJnBZlVVY+PkxVh
9Pc22Pbb5Rf4YKlleK2XNryIX3CEwVTpV9X2EBOkNGDCoLOjxAx4dIewmSGNr5yFmTFSGCmGNawW
iOr+of7FZhgEuuYpQTChsnBFOBR8ytcmVV/Qrwvbx+03eVdFxegVdSfQQPKt/oVDFLPvAvLbj76b
5ZtqhvSqrNwAi7gVWLik52K6gdmLqFeGUhiIwiuTorfN/Fb9IlXYnjtsW89Il61JmMa7jCvwwpUr
+0Kx2OFNxr7G0cXvoJFPKy0D48Ry7Za8phGeaBoXwbyAmVoaDLK27yNRZc0pMHz/Ldedyo9wq7r7
MW+ThpYwC36H+sXywJAG+VqacXKNUVqqyMZK/gmloLu32sp7iHscm5vY8gZQIeNit6yVFs/J6KKH
FXapxH7s861cySPjLwiJwcH0HgSbPquYjyeiOAZqCcu4+1JoTsUsGencMvqsC1zEv8gniZs3P8m8
W9lD8YuSkuhfxJRf9BT4yeUnB4X4YR4npuAQqnqxaboVu8KNI6l2FPD4/4u8M1uKW8vW9avUC2iF
NNXfnIidklIJJBhszMK+URgvo76d6p9+f0qvs8IkLji1L/bNiYqqsAuTqWY2Y/7jb/DXaTfrLxZo
TFuw+O0fcC7DyiXaXF2GeomuqmEcA6ZA9wOHHO3jlI+J9LXNFIbocOWzaFX3QWyWMWJ03R+DPqqf
F8WZrpzNWgaKo9J60eY6M9XZ8IX1l3LBaHtheKUj8YU/mdVMpepcqBV29tALaX8Nm7eNZahNT5qF
UZQsAmqWI9tJ8QkyTlY5sQ4cTqWs5saFqhRUMRJctDs4J9edkwFPPSb6RSqFVexb+Jr0/5IT4SBJ
WnSZOn5Zl+tm8GMOBrr9wdhsgNKsQHxG4rf7PFZj+V2SOAADdRrI5EIVGz8Y2UJoCN20udPQs+Dw
hwFuR2QTvBlIALqSNdneXCf0WzsiiV3lG9lK9mHJCN2ofcJ5oYgkSELpPKwgAsR1qFbtPLbzpDkf
zZq6JMSPXzQGzQvNRO8YDd/MioidJbay/dTjQNPPhFjHwqgVgpFRjenMJwbmSlfumNByox+nG6O+
5WtRsOq1DRLqmPcq+816mUdLdJe71AS3xUAWEFZOiPnEsTCgJYYJ4dJFUDrxEGBiqFq6p+PNzUml
gD+0pLsqadv2mlAVyqOmTgfDF1pToprI9Cq6NDU5Jh+cyR7gahBQNB0ymfZbFlp1B9WiVSD1UJPc
L3gdrqHbLqa+J/ciSS9M8r2zR0xpu/IAv2NZ9k3uLPJruS7qNzfNiCduFkS6mP3H8I3tGYY9RVKv
RzHvfYKlAVgtKTO7GT8/TSxEu/gx4t2vujUCFXd9hwV8GzXCj1JzcSGd1wjUckcbLo2l1LpAEOV1
gFybhz1dIYL4MOP5lFR9WV5gbpip+6RrdAcV8hBn17VhT7aHsqrugz4Xct8qyaj4fTxZIdZuLnmA
HXZL+wauT+vBkLajy6odllbs0l6oC1nLVpkHCook+WXOKbebdl5whddB3mAcQRqimwOE3VxidLSg
v0AoDYpslnbywCZlyQtj7ivKHHUinmrSQdeQmsix/JxAqc6eNOZwfRcP/eJXVgPPKWkjusWqtMbb
rHXdLxnF3eaa1Dc2IY8wu/y6S5f1oMXQN64SWLOocCLTNkgVsYm0El1roTTrMCMv8y9uBoV112pN
fJvkDXuiETVfFX0mGwwexG0m44/Z2Ko4tKY51lPgwIDvqz5mYT5bCHPSCE9yQX80Z0Qp0fOaUutd
aHBcFNwlJkhlfZEs35e403XAYg32aK6O8pIMyeHTAM3Ew0UJIaowl/Ji1FvFQB5SfBxiFDt+5cr8
KsYQG925xEfBj5zFtDzMlMYnaTtDQfXukNFeW11pY6/GueaQSozSPDku8YOM9Zj3QXKEiVwr1j4s
ll6Ia1etMNLlt1XcoKoRh3wkd261q7d0YOwn1Y3LUdl/tSz9aTC3Qn6W9PSYXliGfiuRu1woslC8
wrIjhG2FHDzS/MgbJpCjK/y1NPUP4IL6xzatjTBt8E/PxKKuT7rG47Amq6PbMPf3PHn3YLhIjlCB
E28STKu8aNRq/hZLNX5YlrT/c4Gkl4VaponLUdfsC5i2CxZ3Dh2HOB9t2Pz0L1W0GZpaIhQwG0Ib
W2QPN+4wwHBadafcUomT+QEJmXvlWOuClVVegy1V0AlJdOOw78suslq/x9QLJVeaqaOPlAJnAKN1
rZ/OLv9rLhTbF32vG+IIY+QR/+eUsotn7BZ69eIvwQlyvBt+dMvHH5KW9P/Fj7d/+f/6w7+9cd8B
LgGxSYZ6E0T/r+qvb+W36l9A6f+6Ifjv6Vv3rwtZ8Ff5K5j5zyf9hDNd/Q/XpOVjaTq9EJByoMmf
eKaLyRJLtmUbuO3a+EmDaP+NZ2r6H/w/AJq4/hi2iqHSP3gmSDwMaQsndM2EIc3n/keoOiFjv3aI
wC+hWnNlGlemYgV8hqpLyfmsTucuTCZc2DKzfKoaB3dZyDq7JOpwbV2L595KG2918yeC6SB3kcPp
tWgLl7SmonQq6UczeEE0pQ9jvYzeL52K32jDtQ1R/aWJtV0iFGHVNWlhAePiHfWiiaWPEYBwHneh
U5J0qkBdCmKoGghpXOxL22+GPt9YcvBlDP0ytxA4/Y8uwNBdwaOy6eG9vACRa43DetaFp6hVfZ2B
uSBr4mobBUlLRt4QYVAwuP3lkBDBwTyX71wCr/vVI6D1Au6NEZTqnDcPpZGKriiLNuwGHOMQv9xj
iHmTtu855Jwcmc6ftYXUBAEnALfQz27VWiPZL0vdhlUN9ZKt193bfYN4nhWIqNfUW6yo9loLtdY4
Ta5nRypZ5bO4M5FkHBFFKnA99eibzMwp6GahftRz4KNtXoSuOXesffUSdgRPBUpDUmGeG3Zgoq2E
tgO72W7idR8N4pYNvGD88SCX1voiI3mhdtLxjbQl7rEig1YRzRISiZZcL9HndcJXISnXezKZzD3g
8Xwzy/xZ09c8kGPxVCml40M1JZbR/UF200d9tX82fP6tmfVZd4pBypRgn6LLBRkKg6GXY8ReK5Vw
8xbJj05jOp2XLxmsANh9PdnJYjvzQnWz29Hdvz04T22vl2/MMHUwVAf77NMy8vKLsfS1G+k6WeiQ
aBU4fZFd2JwID0JQXMW6xG7XXkev7gQMpIUJXUE28Wyn4oWi5AoKLBoJo3SRmDCncKTJsZGmRKUe
W8Iiw3EMs3ADOF2h5H7n2s96KTw0DA/opEAJ2NzG1bOeuDq4xrjYSYGcS1R+q5jmVUwB4+kj+bnT
UAc56tAQoUx5QygPlQXymzy+JLNZ7qLSohLcFiBjJjPvaNkWRAs5kCCscNMkGqCDBjrwiEP7/vZ1
v37XhoWZv4U1HimJnG9ePvKevFf08Fz2RMIbOA6rkgPU+fNBd1bjejiIExttFOIdByv2irN1gG/e
YhxVy6SV5Z5Nz0GUJKe5XRFGo2ygYrnOzgXj99++v999C2kfnLeRU3CqOGtxVUUD9NgWRZgsdhXa
MNMuSZ5+evtLnBMF4GzkWoTIY6dka0g9xNnbx7bTtpNsLMJaFM+U5GikLEkJRw9H7myDSe4qE3vL
SPp2pa35JeDAsxYb612zEr5YDQn7zuJ6mkFGd9mbChncsXooJIM8zyYB1quknl4594pFqKpq2TcC
Wv5FSl3k5/OQ7UaSmveIg0j35ggUOLUZqoRTe6Y2Cy9tXSXgTJXBATU1elRcWka9yfTg943WcWCQ
oEIWK39qZ3LAiV/BpomI1n2Fo84ucRtjL4BWgLLA1mCHb4GWT+WaPpmZfsdhM7qMmszFwjp7Jui5
PqDtcHcENR2U2SVED/eJfVGnz10cOTsS1FC66kAEIMoMOI3xXcUSZk9T0EFgDBp5/LldCQQbC/c+
YXDgiZxz3TrschfqTTJinyL6R8g6BCRtq/eyQL2D0k7im4JQdZ4r4eUGX1a4mfFNU+nqdMIm1G9K
nyRoLM7zLYmwWAhgrGJ+rTqRecgPxMexnige0pWNeLVIESyyZy3hpscYFK9EZLJD4PKxE/kPK2f3
xAH3GHMkh0bFwo2XhwxyNhA/m1dEeB1O4mojfSPC0cFNdAcTPT3yBkMm+CitVQh28KTTq9uocBg/
S3bgYoFSXRrl0SyaT5nm3rdbQ6gdut7PIwenCwxX2VjAvQudV1PJ7qOVgkuXzfCBAiOM7OoJt9/u
AvHHpr8oZODOvE0stxuvazPLcwpr37bFM0ljYme141Xbj+Qt589At244g+yi2uVG5VQS7KZfRzoj
kHxCxxeqfZNH+NdoaC9Am4zcFwOugFHDOKdfoiA/o76Cpdl4y5g/KzEZ9RZvloymZ1OrN7Vvaz6M
OWIEzDoqtD2IJucofq5pcHFi2wCFdHJ8JamPM3Ham5cwiORaPuGNW3wY4G/Ag1CcT5IW1ZolT/CV
60OywLi2SPNVe9ibHeXp0cqIKj29GCqDG2kRcE8rePROY3eZGDa4D4udxNV81yTpkxNRM5qxfqc7
hRv2S/HkqAgjc0a41jM1TgO3W7nuCHNue8ZBB1IyJl7OPV5gC6dgNf85BUpGGBFEd7LvpG9uBG2D
HLDril476X9btbEJ/uuywYgrYQSRKoGaFR+0HSxDMhURPh0nVVEC7IdTr3EYtKBTT6cL53KpYoZq
3WcKexokE1hp8I3/pG2H3qNXWa+bmalmJ8117botwQy8Oxuj42Bt7QvNwlPCJCAWsMDNvGwej/VU
Y0qJbdJ+7gmtgmX7DMOcBcs2+R3ug6Gb/3zBpWreiaJ9rOkC7Kw5e24trhoI7um0XAx2/txjNwA/
kZWgyghwyiTU2b5gB2no3+86rYfJP/EQOQxQD63UU1TJ5D6Y2sExRXYssNjxaWs7GHNoeWCtzaMp
6uNpd3JVRrEKs3BvakZ0SdDAMyBgdItf2r6kSEIEtRpBJ6tmb87CZz39qypYTHTByK0ounZSpp/p
KbHkKXzuyFqbWzUPBIixs4unnvpqW86WigeRFNbNaVEaTJYXzn6PGWF6fjpYN6K21kNbmHecd+gh
a0wVHAmeyCHF10Hv4DfDl/x5mki2gsXC1iHYth2rtm9OdwgA/bxNCdLf7ratwLbEXd9wYad30Aj3
Ji0V0oWrCDrvdHTizPS0ahs2Fd3PSJgl+Hz3qGaGdjS77Dlv4iLo6Hf5ncpgPK10jsFiYibOfb2Y
rKjWqgSsJtMH6Sx9MCvM34yZGUzKym85hA4XuYwu++3tzAojD5+P4xpXqm9mzMMZLuflaSVGjE4h
RqqTP0HlZAZTZi2rg8sl7VGC+iqLK3Fm4Dd+it/ZzKgfmj0pfhiMgQzf1K6a+84GDbiSFYExzMdv
+4qec1FyK563SAUNi40lyZdQj2A85LTwvG2EzSv/Mmko01lp9vTloCDUDLrOZeEpGoYVtHRY2iOv
RncpKLa3C43gEW8GfWcnrPqcgqqwjfnAllyQ/Wn9LbbVcQsdCKtc00kkrJFrQdcNtj2OTgHOXHS6
dzjNU5Ct+dGyuGqxkcWzRsv9UzmMXLwIhqnLr5WoWD6rUK4PNpYNyGQorpBvPJ3GCsjfE0Hlz9U6
30dqhnG32bXQYHjU226DJoSNsWcKIC1ERWMTemfB+kZGCNSF/0G+Q4czoIKs2r09bgxwq0tvJqRL
vqlt9blp7yHRwzFuaja8pW9vWCXbq9RIiB2baDRLnI52pFPQGdZWd58P9Dzrmvy4rMX7vpbTMu3w
EVcPMHjizdZvwPNNM9L9qOHQ0DspSDJe+ZwN0me6ZY9RV/X7mZPVd8XN1086KYZXdBMIL2vIFUXe
FXLOSUlh1LRH5LDpjqx16Me2nvoJ2dm+rq8qJgAt6DbHpLGOt9KgGVESmIl9qw3I7qd1EQgaIoWR
0NJH2Q5weUKd3K7dja4lxt42Zu0Sk6unQSlwlLLpdIx5pHsCGGuf4wB7tXZMp6Zisd+OeZCzcz8h
kBRbNnxhYXkmB1eBCIxeFSp0laXeVBc90u0tCoWYAhIHYoMaBQ/VpMzZeRee2Ci6H9lKwdYDdu20
tioOatSQU2sbF73bPiJGQReLxdduRGV+PeoEK+Z090IEiJmH2WTE18PaqXo+DF9cPnutiALUtAHm
hnlZQA6Ii3jCd6VDPNs6EV75UeJxgPre2FNApsr3gX7TTtESFi2EJV7tEFahtD1opEjRU+RVilOf
SufFqIXKGQ6LGJHqGLWjxsftSw3G2IBHa90qE2HIHQuAxIQhBvMKcI/4jtDuWpm6q7Rm/TXG6bOm
TpeQmB2MJEtsZVzlR2Mx+OxJ5AGJoAIneuWb2bPqZq2mX/SrcRfnmYAJrx4RsOd+FbNkqtkgQXE1
5dCm0KDkXDJrt5PPSsYEVCGWpXRIn7W5dvcJXgeeFrHS1FWyfNZ7o93e8OpNBTuQUVnR84Qu1BOa
UzwAhxuE22L8uBkvK5rE8QqIo8zb7nu8ugbLWzUEq2UT9lBTBBPqu+6nnIpJ5QxHIoBC2+q0jmOR
d4Rf/NzGLA6qZvaBMtZuODQQuU4netOluLN1pqnTUMhUqnanI1egp5GSllkybuttiHJgDo1penLH
gQj0arzDg4G0HReJA6lDLJpsBdt1jo56p4E+hBJnxV3Ebr0jf/lp0JKn3KwfVeLXvdFU7+Q6ZzsY
PozQRM6XmoY/faoSW9bY8S3Rvsdm0TDFG9q9OprdlVRF93lQ8i/kb9zEODO3YnEvcX/QoS1k+XU2
cTUOVRW0v57qeltOVyDk63xgxxudvtlPpnOvpwhDlvJIgTHfrgS/UAXq101HXaNo7pE+i8W5EfVK
LyY0xmQ6uWIKRoELR09zlA5YZ90QNp/cqhDcvqQqz76iTA603L4oDEYYKhTlQBeYuHl8Xa/hBfGc
Ddt5qPUKkFpJp/uSMIQdmDiF5wZepTF+huRuwdVnXYuQHQZ5m8w3iqITf2W52yK9uWlDMqT2lv3K
zVJjinVswgp3j7bu6kMRa2GkDvJCc7PnSkmeY3b7rmMfgmB1E+tc52lH72cOYVu5025jNWaY3ESG
ySmPmoDDtQgyfDMChQsmkJ49s8LEtNxtpxa4RfPOhozgD3H3WJdsPeM0TB9iur+0GlRedtUTGAOl
7nIBmdy5ajHjEtTnH1uYU16pEuMcq5CX7ITqjhN9cNrlup7opnTUKaOMxfFjyMvHuOFrCsEYnhN9
JW/dTv7q0pmkWJsPILDJ9FxMuui2M5pcAsO/FZPkU7ryeWOBPJXRWB0Ldr3T6Oe8GfRkh11yWH0G
hOCuCuujM6eh5Yq7KmablBE7V9YoPzagyjRWNMOxO16bLW9kybc9MGZ8DkSNe5IaikUhbu46Fz81
o3cbj9jfzBNqcrOkLGOAkXlALAoJ3WZ/qQzwEUZMdBaxroHR8vVLgZI1MyiwUkV8oDFaApvYOPZg
v+i7CagUo50tDstSoniNu9Pei3ZPMpKi+7cP/ubv4AUwRgH73MYDwtrglV9ECWM22mOcLXmoVBw6
cx3A1uz7x7YBFMzUEgMTRcu5C95yvxYEYQtC6qe8eTDbP522uVedFMkLXXWy4tKnwVaVwLLt+3yM
b1Uxr7RIbeUgig6ZHRJjr5nGW6tUMClwegrgPv58AjJPZyRbE3+lfZk8W3OPYry37rQcru6k9NpR
ENp+aTVzeYQWSUE3bkUpvg8eeUop5yXsLpXepPZSVO3nIWzQdOfj4PxFT6i7qmSLnjTeqsAEmzKL
M69vxk50kUMG/c8hcjoCxN2i2rJABc51HlmBSpRkIWRckjOlY0/RpRxAJCxB0VXm5kO6QancH/v/
wHTTJorGt1/rb0CxzQMbCp4GIxA89+VbJcQAuT8ZR2FmE+suxZocIPaxC1ktvXMl67zEGlVvLFL9
HbjqZMZxBiRxfEd7AGEcXcB5zAAzWxvS3CX4iXS6ncmi7mdIuD+mE8JhiGYondUswhh5rXfYWtzW
kHs/uY0IF33WHt9+DBsCd3YtvAFbs3VofgzvMxx4EANpf/WUh8a2CGyAAew6Smg590FnGjjrsbq+
/ZXbkz37SvBRer+0J1SNwvvsyVekOXSAUqGMdCco2gVhVMyftKK+n2WHBVOiTPh8dfRV47E8vP3t
v5nN9Am4ANfh7dPKevntJQ9V7yHEI/ShGMsBdLyKA8U7I/w3jxWUWZgWtiy/aVOxmwqTLhlW4Fpq
eMOK8rrL5q/KIm+kW3xZehLA3r4v7Xc3tgkQHPDtTcZ0dmNt1cWUJWUfxmkmCSkCME97o7tgSQDK
mZz7hO0TnhvombDip3IulnCccX+Ce4xj45j+tRYPb1/Tmahqw8u3PiKcVQY7IPDZ4GqUoktdtWGO
5dnXujGXHz+L3zyjxsN45p14163LeDaycF+w0RZpAgE1B/OX73YQ2EJGVS5DJ7VvOhI+/EoxqwB/
2dRTqZp32mh9M4rsc6Pif6ba+JRZym5Mp+tB5H/1zoSJiZmu128/ha0r++qyXNy6GOpMbetcCYRl
Y7PE0HXD0h3BaQqKZwuS8X5QK7ZMjDiHuj1i8Sz/hJSEXWrNK1KQQqOYrB+1DrcE1BI4RzYC/kdd
kVVn6TcT+eN4YmXfLXkwe3X2V4MSpLcvdKnfCWqcIU6gjcVDhkA4DhIbpMYmIANCLr2lreuYIzJG
p1qQ9YbfvkdaG2drVUUDHsGvhXmFgnODsra23WljI+Spu3j72YjXz2brJJtbtityGOu8nwtXe+45
GDYhZsRE3pltjGY3HnfFVIKL2STO4z+YAh1g4d+Po3q6TaBVb8u7pCC0gWojdroVk6DLRh3Iblbp
Eo1b3bxu3nCyjFeS2krctxyQ0Bj3mnfWsy2t6Oz92iY6NAtHbNSSprrd4y8FAlgG6zyGwyFFqUTZ
5Sg+mBpkBxtaosCzi6DVI7nEXaBl2IMSpbLvJrQVbz/K14MfrRm6NYFukgTd8yCGMoMmOGK7HcJj
uBQTD0YwEtJqtN75IvF6paF1SD4rphT4oNvnKw1dkKgl6w83PKQjuBPWO23JNweOvnouiCTw4cQz
eDd0GV50vatyWLdicBcyLCHBTE3yJDjCp7B6jnbJeS/nCMjzzYN6OzNWHN7Bt4+dTm9eh8l+wIxT
Cd5+Wr97aTTwaICatmqarzrHFSdXAUWyCRNZIgkocEzqqrnxSknVOZdzG+jT8Nd2Xlpy4KehTZ6X
0nlnxXq9QNrQIugn6kI3XrMZCJuUdqNpTaga9Q8dIy2Px8CXFR3u8ct73yZeMxNsG8KOS99X1zZ9
4suBqtdaD3NJNPQvp3ifN6SEbm3JVQqM87XYBMCloF57mhwC+4UP5Vo/1nOdX2OZDCqgxk+Noy24
nLTrYeTgDS0e0x0DYTx+qXK8zvTpw9uv6fU+yhWbW6MYIfJGI3l5xZ052yXatCa0lSUNawmjExV5
Hgwq5yegbIKX1OKdpuVvCn6+jRGB7lll2T6fSQWlw1S3AquFDGCzrXWDg/gsjlltzIek7MFTYzxg
tXy4kMBTV64OULlhhuDtaNBErSJZAkKIaBT5fY7fGANAuwRa0fYt1WyDaTLVJcdu3ewfEduBpm+Y
SIWDMUYHrrPv7W01S03w2q39YoghxQgqZnTWKMyxpDTCOJeJl0b656IV604jwWHXEDy5g1vZ7BN7
K+ajyQ3hySN95xR3Cp069TbqwlB39Ny+bydhK+35ulmlQxF91RVMaiD6Tvt1ZRi+/Sp/u2xYuNNp
PFxYqcZ5NeCsUL0Mlo146ZPbHIl9gKHnuhcmvnAAyzV7IIfc1BVPwOag2SYvuppaB2KYKIjG7KZL
ewEjOq31JZZfF+mSNmCmEiugvhdfTq1No9FwXqRbe1nS7r5JMl7C23eyDbqXBazD+krxCuNEFap5
tt53sUELFku9sLLZjId5Qi1pb1PCSMYrGOcou5y1/GI4ke2TZZu/s2eeBzBQVjnCsE0dzgtcI1i8
LyeFiwUkSaRVHaoFXbQa0uqtloP3OwVIOPIc44HsEbIk9CS/GDTmCOoVUAUFHDvd/mTmVesPqg0v
emWYsnfRUUIv4sP9/IpH/GW+1I/4AaXeqf8AtKEp4HzRnAVJlHSPZrN1A0xA9gxQMlTLDeObNzh3
bdK7rp2MB7Ug0ld1j90IE9+0VpNMEVaVMnaf+S9Nj0JRfxgyK0KkjkuY27Qb335Jv6kssMLBFHHL
52BXtrZd7JddGf5oXmUY+4ctTYpTg6DEK86HD0mjKmUarn2BqU6OxQmBEFAQqRjQ/9A8aBAM0YZZ
1QHiVIcAgt36rtjWt9a6NzJkAFHffKno6MMRphdh4x0Vvn31r9c9bE+oKJj3JM2/OiMN8LRlCfAS
YoMTahH9xW2pyBdOxSc0qojKd1a9V8UzmmbWAZ1DGWJlNvazUZVoxN92OSdBoG0S2Zve3qVb5/7U
i5Gn1zvQFBpZX2ByQBoZtjbg2Lek20BWDrq2ywMTMsumD3hv8TjfKE8XZ1LXMt821tD2819eprWQ
t6qQbBumCTyCvuMacB6kC8B7Kran8vbj/83XbVMcppKucZh4te3kjQkbts7DydxGrV0eF4WCypCM
Hc6O71WQpwTIX1cUmzWOFQVGJ0Q2grTOxmrSjXQbuzQJkyQxjy5e46yFne3Phrun1QQveiIxOUgr
BHNkXJqHFCOmg6Yp1Y0B+/rPySjd22wcDpY+fJAWHvGt1ZM1PhF8MjFHfdAVeVU4Da7a0wIZvq9S
/HiJDYnGku7m2ld7jJ8A48fO2nrXd1ivbdkHZOYRmtr6So0uLSMl6MAZxsDVsk4nnzRcUsr1ZLyY
o2kPItkGXdwaIXpx/RIuB+GsQ/4B3Z6BLsbWQ1voPEMks0jIlQy5SB5/qDgn79dRGTfLcMcfEn6Q
COVJ29h2Ghqau4VCbV8W5O3ZpO1eR/U4AhtiVTVQc6+7lD61X+WlfglB1YQHlruZb5Vtta8aI70c
sm6cYFpUOShZpGNE1DoHF7PPo9JEMfjup6Y3PsRJKoiPQD/pWIjBcmXVvg6Tq4fIDsx3Jpp+Xqjb
wqEII86NAzE0vM214tex7MYtqvqCXR4GhbOFsNC9LmCNVFKls00tlZFT/KFp2yqMmgkd27oYgWi2
F1jnhu90iE5g9lDX252NK3uRfC9ERhwK1EMEUZMFpDQaASqazHdYIH3kmNWeJoKBfoqn7eircr/U
k3F0t4/P6v5Dn4h704ZtMs0WTBJzwJC6K6uDyKTzDuB0fniA9seEYgZTx7DQqGdDnZVTM/U2dxBE
rGGHKgGI6J3Ze754nr7ChmGI94almerZA+YUZgIExA6EgazB8Q74dexGjhnNChkEASvPRnnvVHRe
FPClrJ0GxQ3nCZaNsxUqVgjlthIygDD6aAOaX53XrGpL2y3XIAzQ0lOwaryoCXFCj5/Ld2At7by2
twmypUAWFPDgqSAuL0fVgg3SmJW1vR+sRqEvn0neNp4DmL7xhZHpXjSkEYWsdvfADnmIYGf8/Paq
eWLAvVjGtmsAIsc6mShmBNQvr4Fp09miU6w9sVuKPy6tPJSG3nEQV+W668bU9dJSld+Q0kXIG23j
pp5hnVa9cD4pub36CbbfnpyMbD+Uq/OoSsGjbCXVXdLsyzzpPk6YYCHRs7mdPrGPbWtYW85P+0Ai
QIzOtMJ4fnL7W92OGwJJlOKd4ssU3MOLe6SAJZPTwqYI4Jq9+eU9oo+wjJYtdD8wq46T3s17tYk1
xPz1eHm6CRdB6K06xfZRJvyAxmPkuau6+kR/YDtKCebrYBGenkTxwSUKiiClTGFeq/JiXsUzoU3y
oIwWFDJnXP001u8wfteDpkvHy3Ul065oLUwdzJVAxdke6WrLQDEzXNdXi2BdQt5g+NRbj71S9mUj
Vr+LkM3jErzPu1bezPzmvkHYRJpU/HFR8A+3oqm4XdbmYe0ynUVouDSngYs11IKs8mS8xlq+f1Tq
v02Q/i0N+Tw+Eh8lGMgcCIARgILJsXz5OBvXjdKVc9Mex0+wk0HpPMz8j2k8fSK6KyL+19D2K2YC
u9RaIk+AeHmZ2Thor1ClY2GYoUZhghcu0yyrRswAiCb71i4ZonbMKq/4FISd2BnTETaqA0DSsOOh
WyGKoO8rWR9XnPJUT0ULRkNFGvtWkFRYYqLrKVb9gFfbsB9n5b4EkPbzFR/BtyeN8Wq1MjTO3MxY
3cQiBrj05RPIMLHBhqEw95jSDR/Qj+pfxUw0IZsWQ0AODtL22unDfpqVva6UCkScNrnSUFgfFgNz
tSxBEI0RZ/k5jTd6R8q0y1dpYjpmZspeTA0D08JDr4Mc56sdY2Tp68zTUifDbc/RgqUbwnlJsJsX
xqdp1B8RjmND59qfoiT9i7MONvr0pzAXUOxDDGnjmmxe5xaNuQiSAvk5htIcx6uk8ctp7kMLbCA0
aPntaUwy0HEnD2a30N/BcF5VadtZUrMNQG/WnVdF4TKnCT1Kxs5YmM+oDZzbba50RCF6aL7Gd2Bc
+9XORdyfqcNQA8kVLtZuL19UOYBVqUPPCgudys/oQz9CLEuuGizRPLJv5j1xGNkNEsrkSpApuaO7
3NK64qHPY0sFj1rXo5v45+hGxym2rqPVlHsNlg/y5iXOarJAmddjBuWVf4s1iYWji8u47DK2DzEx
mynbn2vZrneihsyntWQga3UtD4POHMCZpTpmUiWLBxHaPoES/3kai+4jDX8c/0Qy3jVkvniGgKeR
GxoQl7W2AWaz4zVkLveCjuxdjz7m4OYLK8dKUmppVfaxQ11xPaksy7LJ873cLoeOabEV4uNnc2Fs
yZFtBhWjU3qmsLETIa4Vb1sluxGYiiAVrNBSRuTYQWKmnZ0ktbJ3O7wvcNdW9lhEshjZmhUkYEFU
oEyI9Z2J9pvRsjmF6Sc++rZLvnx90rKKvMQYg+gWSDmZyfPrGpPNqTZq3zaZEG9P7NffR1cRRjol
Fgd18/yUbuUVzOC1NvdFWVKANMwGaHPuBZwj54Auu31nNmivC0uObaZrceKFpm4TCPzyDh3oba2I
Y2MPj0kP0gVmKL4x1jEtaURVq5pc4RWYBrG09iR4dYdOslxYeasHqBAJ35xIADImO/JmTs7YKLFR
qSOvWq2NDlKC1odNy62kVt19LCXLtVltm7sZYc24psUtVt7fsCTVSO42oy3Kkk/Xim/wF/FSt2CF
ZsidSTvTtfvaYbNbLee6GJN8T5fhGZ/f2l8n85mww28i4doVtZ/3ixOtV+BaItCGGWCl7u7lyljX
FFb+09ba5JRanRMnjzDKdAIOINxrkHzhiDCbXOIOw4QheFUnhXo19UYfIp5lNyWjwIsb6pIcQypv
KLE6Ube5ugjWj64c8O1eWd/ykXG+tgzxvOuIk52o2QmebHAWbtqHFOXpnuemB0XHBTW2XePIw17v
KsS5rUs7//3TgvGeLgNOPbbCab6GGUJewtR6M9SC3bLtulki0OWmuc1kYblItYl6oJ+xjdJmeZH0
qnOttTTwh4K/un3sHKTNDMX9hfcUU0FUkdujxoX8Dee7D7tYdjdE9sDm6KOafYHbVFBK34zKuuIC
pEk8U2orRKPkXggs0wN85Z2wWK3P1mJ/L+HrevhEiQtm53hEU6Njx8Wsic3FCfEeoWRJKaNP0x1b
1RU1BL5IisIu0KC59pKS55+4es+hnddxml3/P0s6NZX/WBu95N8bI/4XZin/Pjf8nw/4W8pp/4Ej
mADu1wUxtWDM/0g5tT/QARmoEzV2UA5K/yg5BaZ1rCH8a4Fa06C984+SU1h/0Ml1aFdw0Nl0oOI/
UXJysGA5+rWShgIBvxzFKEIwxwT8eLlcEf3ULCmb0kWXpnF2GFaZf7AlZv0+vkQYc8/zUGSHknip
YWc3RA3sUodYUZ+ECnEBLpYFGHp2F2tSmda1pqKQ2Y1zyv/CKUlxkWtcEgUdFDQBNsPx5VpbCF2w
b1MD8Dw9vqlNs0xxDluaL1ahJpVfaymeYezmMefouJROgL7TfpATS6rW25O6c5oxwFYdX6HUMZ4w
f8vzIOIIQr8Wj+4C55HY2ezw3Onuv6k7k+XIkXNLv0qb9pABcDiGhe4i5oEMBoNMDrmBMQdinh1w
AE/fHyj17ZLUUt+76zaTSVWmShYZBNz/4ZzvBFafJoeRZId5bY8mjLJmTOFPIwtDeQwcgsxuuxng
UdQ11o9JgoYsCXp/pM6rw1XWDJjnrVTXct0YTZdQPhTmZ5yY1YxcwudNdxzDuZVx6OBHC4vorcG/
habED6efwjXUtU7zcFFclv0aagJMf9E6w0ecduNR+rJgrlW7yTu6jw4KksPFrSvTZE/gthtd2O7R
gje1EiU1KySo0gZnhFnhWbn29Mb6yCezFPYw0RtmlRxs6GzoTOcW0oIzpYXc1p0n7u3C0vd6nI2z
KCDGAoFL5otIit56srmjrFULOiPaOUEtgld4Ys1xauLO2uaBiSYBuoTdkAdgGWDl8ki1ybHpOmk+
QM7SdbZtZkGsTYoPwn/usIcs9Qjb3RB75hu7T7yUE0HUTRQfexWD9yXzb8uXcc4icAgly6DQP1iY
iKI1XITBeog8n80zvAIy13TawEiG1uz05nhTiflJfC1k6AwZleacO1bwmsjXgJfTNhaxJQu8cwCW
d+FqJoJGJBLrg6N2SWZNqAcRqCeQyzQa3KD3nhisEhlgWDgbMeSfjJzgBScNnyitoovIh1e7FnQ2
LltQng8EffKXBUqC/OKjhhOwN3KzWHY7YGioJ7aCAd59ZIvy5PLY3AD3Gkd3HLJ1Khw+uqbx95iN
Fiv0ErWA2CAynLXrY5OcQ/+eBqW7Jz4IWdgAfDiPtcdv1Yl/OaDy9z6hHq+JkuVlEJk89MNiooLq
g3w+7ldy6KKHzK+9LVSa6ua1TnVhj8p+PpPg1dmwLYIyM/wW5eNTpiB7T2DFj1NPxG/jee2pdmMk
BkFFxu4IWcqpUlzbqYBobGUUTBFm3MgOd26YO1unhPiAnspaDSGjBEv19w37YThIMZOWdJL9cx7X
16FuUbaYMyFa+EuonmP1EMZ5R5UyKWoVFF0Splclba6xdh1Nw41OA7yFZzyVZf2775Nrhr6CYHLs
KblSal2mnfegFG9Z5BNTGS8koYYy6Y1pbs1hJJ4BEK6JXzdWsgh/5Va8t8AmXLlpzd9k9/GkV0tK
IIFKloYsbwZkLLTZ+OmV6tyzQF032uA3XwO5N8gvMhAGL1y8XiFvkDi5RW7g36b5mKequ0tjg4DD
jsgZGv1xrT0PLe4k5zeD73uXpuFMX+Y0eyFSfe+TFWcSMADxS1ZPrgrTUw4JBE9GPtAdtt4WfiXB
fWIsH9su6bak60QrVsHzBd0SjJYJONohtkIoGgxqezCWtjDXjlNG8NYbYyDYx55eyIGtViDl9AVg
Yr0FzJdtg1jKn6ppP+tGiI3Z+w25yqHYxZYOtjT1yZpIo+IqA2bSEWDKE0npuPbJUd+Z9K788JBF
iZ4zI8S5hMnxJHASgs0lbG1q/Fcd2NGvOhuQIv/hVr3+9Rb6H2VfXKukVN1f/uR+LfH+7nYCgrAo
Okx2wEvb8A9zygqiY5ySx3D07Y6Ey9DShbtRMDkfOjwm33SlHM64CmeBFg24lbIdyueyMSamJzmU
uKgJ0jumrBb0LiXRMNguxoR2+e0j3re4prSpYWnEXkgDzYK3MKFjWPFR9oWvH0b8+y3D7Fm/dK7I
bhMuJAF+LXAHea6T2b+f5z67xj6hQU5Th0uQkxAKWbaCEyXspTCL3desm4C/l9mEpM/Dr7wyG746
QabYFIIw645ae9OeCNPyPEfGuMuJsVhIK+OBzXtwCiaG575NbUfOLdPyIFQvwFvqjasNnF49g3RK
2bxdK+oQltAyRdTNvaX8ikk8Usa1CxxrOvhua8DhGiza0T0iVjiJI9a7Q2tOsrjznMTfkrQardi4
Gb9ReE1QTW3nmEdVM69bxzRuWebW27FS8qGYOnHtwC894fjezqKlf0iI0LLKebHIplb1UJBytvbR
mD8gIZWvpVGLzSAAMam8YTmuSsCrJgvT2ozVTkT+Uyz9ct3hEE2n8xCoj0pZ+z7GoWAzk7/U6Y9h
oIuGdXlHwLa1lgw6N2ykultsZvjGKj446g3Cpk10VUzWjUNp9skH5Toa7pxNRu8NJ2WUN1v3ySUm
6xXxt3CvQxIfPIazR66VjBmUm78A/qrCFUHMzXH2enqPqe5A8kWYYrASlG/phNDAtOsfo46J12wd
/EozFlyLZ/Oh8RrrKYnkTw+pwq2KefNQsfSXTsku2hl+TDSLT8M2H/3ecqITTJqg/JVPTv3GPJgZ
mZ8BOiZcd5CXeq4Hm0NZyvE1mEer3xDPUH9M6HTeoVY685MMDRsCGCotuNWsNd5h18YXv1aCFJjS
/aFTYliZFrFNiKQwftDqdcjc3UGvS0vJfWCYROzGYBxBLLpPQhjqJ6wcPKd2UDzZBHjGW48F7V7m
/rDOm16ShxK39z0xbwO72jL6LmFN3UxHOfd5ynnTNJp7vtfRxnXGZOu6hv/cMOkgKlq4H1S1mcd1
Av3poM0mPyW6MbDP4aoxV8B1shvxDFqvWXMJoqpaQqtpgBZtnEPB0W057Opml41kxEScWCgn25l8
Wfam0aVQUcDHaadc+x4ydjbIzW2q0uJ1mSf/hnDXHyi9CB+ZxMImrMH/wPYhXmn0+/JQT8HM6edj
tttqdvYvrsSzkU2ZuFROMdyiNAje+o7OOSkc5iVtGN1mI6PkEVABn/g2smdrnvntNglXE0l15sn1
NSimxiELXfqddxdn+VCu26CRW6AY3dZu7fcJp9SJwQvuCXPK0vccRNrbFOrPoe4Nc21Zw3CwzHIH
EYurS8uUaO5sGr+jzWrjVTgii1p12BU/8LYOT0TXOW/h6BGgYhdDWK+izvaTFamkiCP8QnyfM3zE
XErGu6uS9JZYYfBRd834bDnL6Iqhe8YI3+6oS0pLHhyoQIQpm7kdrawqg/4vZvdn7zpkixo94dmC
efm4lX3Wc69WDI3XzqjgDQKauqCwwwtYhqkIVnYZZmfDSZt7p/c0edP28MssAAjyznX+Kx17uyDZ
bUOcq4xkvhV0UzI7ej2FyC7HpFjXRstmVHFZvDM/Kp6k9rOjDrGeORGaRXw4DkMwJywBU8BDEyDx
gu7EoQfoxQShl2+qsCkmCKba/q68esoOo6PjH9AcaZqLMB/ua6huq4bECqxFmdfNZ58a27RgKJ+n
keNlh+rE+wWhyLoLE7c/xandZnv2UvMLtjEbrKmy0IJGUPXKTsZX8Iv+j2q01BOOPoaMyyNJ85SR
Q9YGES9hUaUMH/2GZ2TdMpu6wzBjEeBoBfQ/RGAQbasi0jUYW0dXrAPzszIT42FKRw57z4yRzI1z
bnyq3imxkxVk1OK+NeUF4jNDPJaawz3Z3QQfx0L8YMw44dFL7eb3pKLsaDVumAHtbaK3cmRyvcvQ
qMJbcZxPOxkGMocwC24LlWC0bxIP6LQxZMTbplnzYqF21FCURyiohulXKy5ReMcw30B/Gd3Iri+G
oNy1afDAsDK48fmUF60sqk63a9+LRlvwyURZbtjH2fV6BIXyXqgK8Hfhq74lSSqRWyvS47F1DL0X
BSfAJpWMT9YpYpVoldZj9YDpO3noEzs6NIbofChikTi0JbHe69zLBxa7aaZsaK8Oc6GyVcELpjFC
yAD1fbMMa/pBHyOqVTomjkPA9ESucBGCC26ncWLQpvBgTa1+I+jgaTBU81wMTZNse7Q/D5AdzOo6
ZGN8GGZbfmD9XQKpplxdksgej43U2Rbpd/fWN6L7HCPTLzaGrvynysS1NTsptC+dcxOB9IqPRVvE
qGg9n1QSzGnZjkLYuI8qdM27vjbKY8yEiZWBINx5cO3TVArVnjI4FOk+6I2BVhsa5YWQ4/bB87E1
5HEzwywoxhVOgO7oAY1+B6szPrWUW+PGwn58pFVyo501ivyIBr9od6qZis3c83TifZwq76Gx2L9s
sBGY6xms+d5stPggqqs9QiSoLqaVAZ8MPPhiTuvogH6ypgKLGU7Cmm6M8Wq0uiCIW+qfnojUr6gm
P3rVp34BfR7hLhUr58QH7eyAealUBC1LqGRDadgMIKT2KIvS6SXSKdlJfMTgN4OgTuml6xjWxxJj
NKyIOSMlJoLTCYDdbwiE69WzI/PUggkxMtk2c1FG+wg3PyBvp7n3ycDbs8Rb/OP9+FZXIsweCqNw
eYbb5dysE6KENpznAmwDK6trzXZs2A50wsl+bJyJ+sKrllgSqiKEMHa1Rb2teZjzAJZto6KfczuL
c+f7mbnFZkJGTwCXHCYsm8czuqvGXAkNKPGk88GIjkBviInFOzp9rwPKNhMw/rexCZrfMtOwNY2g
fJUyi1+CcuiJ/bJNvdemsfDlGai67tgfSUL11zOuy8/M0hMdMbJJzK9FmY/rpvOHzWSFHVJDaey5
kpoNOwb6OJNmrLA92vyIYQoCMU/+dNDKL76+Wj7PgYXyz6aJjAL35KFr2E05iySQIPMTYFLzkjOd
2dhGVq2CsBsnAMlpdevcIPxZzTV6edk2T7k5TtzZXdfvwMQa9ItKJLeZoRSL8jh/dQJjuOSZMz5X
tVeiB5uxQfFZmw+Jh8IuKOvwvstNeRp44Z8nRenfGvl0iLwRwlQylp+V75UP0m7lM489lXDqnCym
2sfRCtVbpAbnXLjWfPZmEtRjKfoj6nw4DEqUeztrVp0nn6jJ20dk280Z0AL6n15Uh8xN3HeT39yP
UKQRJg1T7obEaTfhbGV3dV8m186b1oypyGuCIBKttM2cgeSw6NN34m8hor+DI+tt0eYClR3c94o+
czsJ2d7BIngPBvgkTdbpfRDDIGdlhGvfRW/E2Pw14MBivFzro+ySn5bHZoBpBbC1lvgvNO/UA3Z/
suMwObiRys+hn9obtoDk2lpj/h01cHk/OyQeQFxt+Sbz7oCARR3Y4XobQ/npjp+n23mJIzboEIOK
y/Pft3H/pIowJREc5Dbj8nIA5rn/sFw1OH5LzUFytIfEpuxcqjRfVNGl1qWj15JHaFqjRLBWdS/A
8Ey9dwQsF/5fHW//tOhGZ+4i71pmq/wPRM2/n3a2fYih1PLG40SAZjp06gejcQ0baHCC7sH3S8u9
kkLnsUmYC30bpor+D+KEYj078H7HzvCiR1syJ5vsNtoVacD8TMSyaD5ciSJ443SGfAWNm19ZqvPJ
w5188xsDg+HXQI6weOuHV45lubbpGl8ZfxjgQJR4sgdt/GxjQpfxAkffPFP0HqyTKHlTiVjMcIMD
vzJhKABw4ZUMTx6UJB4fm8pNobhg/dlOs5mdQQ+0GzFVgkJCRA8a2+1aIVe6eV4xndEWi/s+j7gO
S5nvxJi/2aIyH0GlnzzotWt7GVp6y/iy/ppk4gzhhDTQe8dbRq7yVn+NPaOvEShiL/Oz/hqM2pDg
f5F84l9HmbW3OZqtV4SEDRkegGgYfy0F+6hkD18s8pNDwgLlG5wenlMC2qjura9KP/iq+sevDiAZ
sumnLFvOTjZgD7Cc6RMsVYlDiDVgpfBK2kjJlnaCaZL7gYQhX0lQ+0cjtL+xIOmP9UiAJphTuc1m
QguMNKgWvQI9C1oE2hd/6WSKpafBZM/fLn1OGI8q3voz93NaTbA7LE1HtPRG/tIlxbFONm1dwEpu
CDZOl4nomtPE+JF/NVnj0m+lS+cVLD2YvXRjk8F4u4FSMRHn19Ou1UFsz0+u7LJ3aef1h/TQuW5K
eETjK7YgPiRJlPRFzfSXe+24zMIZpNdvbVi75S8jdvtkG5Or8KkEtqXrv39f7X+yZTBugViIPdBm
P0GE0z9ot/qSTDqYFf0xoda6r40xAl4DhLVrRXYsF85z47eFXod9FW7Htnrw8yq8i8cKz6rhahyw
KmqYps3GQls1ynpVFhnZ20FDLpzDnPSNlXUNQT8RzZOjwTzUNgF40ZRoXLnjA0LDB41XGpSAtoY7
C0OdYqEwhj/RfYodYEn36MZN9ghpjWDA0U1PwrWeahEjZQyvIOowZ4cRggwR7iwzeuIdFxdcwvc0
ZtizDcckDDoxpYHZae65shvfJfikkTA3XApU7g7zMNRefnXBBl/xbKDlqxwZPSM9K/cR2J0tdFpi
eSpRaWZvMLEuHC7N1W87gCxUMmojmS3rFedqAHt7zLPT3JhFs+4tiA404HX5y+s7ZBuZ31NISnW1
g6F7mSNw4pVIh0VblG8C3Kkkj+Re+B6zVXgfoeWW6yXrZBeqLN4n2PQzbl3HY2eRql3qTdGh9CWv
nANwlp+vxdQwFenwqwiDgOurN8M9nXCZbMYumBahJyLDldcTwOmabfgIIB+OPNwfdJdRsg3D0riN
TEaYFCT+akzkcMpTlBG2mVgXRoszTyVFZ54G4xmRrPE9gAW35csp9sN+ecuS1LeZ89bNN3MKeQOw
ma5InlmCtush3rlkg2KKk8Nuwmn2PthW8mzEnf3SpIgf8d+a8boaGo4mUtQf505FG1CQ4iw5pdaO
56ltxa4BNwgAEy+20m+l2WGIyeIA1Tv20oXqbToAsZUb3mGRMveuF5u810Eq7uqiegoCDd4mZ0Dh
ft1EiLucR9doI+j6BBYx3jH7cAUcW/nXknhgQZ47SyTra59kqbGf1+HXnslcVk4tU92ZnfayiQq7
nK1UkBCotHVL+4f1tbUK2F/ZX5usDqnLjgW0R2zFsukqbcOQJDboBeHA6V1uON3q94jpXnIQyJYi
eOC1ZW6Xe+yX08Mvp/u2/YZCgG1buiy0V3U78t90BsK9h1rXHltiC7ZaS+uIqkpRVzdkpq56ePn9
CjZVlh5S3yXEfWKAITct8X9n0QvqieZrpjsu413yE94I5UPaqyLSTJK3pF1eEDtlM+QlpyacUfAP
gberrapfvmswLyxaz2PMiqgzKnmos6n7+PcHFQvSv99dggD0MSY5DkRchGvLbvMPenSTyTwYfuqK
IAIeETw0WXtXD49f/5L/1o77vxb/91wV/OeLS/yfnOK/kon/82//38AWW9RAmFcWdeq/XnKf4o82
WxIA/4gp/sOf/Ot22/cAFfvsVwC/IrP5Q/qfL/6MOBMSMTpYKAN/WG7LP7OIpJcJHDK5QHGgkOkq
ln9/+ZNt/TkA7chG3MPLKV3sIv8L3vy3dQEf4L+UNaJM+vsHZMEbsCaHSMmXcyTb8n94QAozZWQ7
EWlhOTMJrr1ZlSsrsES87XoJ69Ak4uO1+wr07lpcWCwTMuoAgDyRtVmm3ySpQCF6YktA3o4nldyp
3Cju/ZHkcGvJEK9Iv8UzVlEJSLRaq3pJG4/pYs98Q8WmWLLINZlExB5JX493bmVCX/lKL5f9kmQe
fKWa50xO43PreXDC0iX43CEtZ1roTZTGVAdgSMavnHT27rNYMTPSOBQjSYAcI3D/AP9RDoeMBKfb
0MvmgMMNRJk1lm/ogSCSEMbQ/+KHQ0wCKAxmZiT6Z69zJec4CK1wpQsr3GtJcPva0K4mbJkFyw7L
8BDtWtF41S6ZCShmlR0ml0RZxMkRouXgXvJQWJ9s+E9EjqA7RBXvZ6F3SJGamrjk0rLchq2TsOri
PhrXDKWN71XPXbRiE5TcVTDHPpqiT+461p0sZ6rKS84jDpl5g5hKIQNFvuh+CX/InB1C/y3SVf+e
2wty3+0V8Rm06J/QawwDuEZd34VzMt2PmqUotP2gI2mZi46pXz1mB8uwNQtBY3hMRVtQ1+F1WGcp
Safbie3fW0dfb2xCYMXV3gFzfTVsGdYb24nycjV3QMDWmB/y54r9MLJ5ZbLLdGa3rtZd7lufLn6r
HEMDlPbZQ81KMloTSFY9c7pPMDyIdVy3BM8xJ58ZdoRGcLYS7OZWTWax3XbNtZ6M+hoPbXsQqmpu
ceqbl4Zb11ilc1roTY77Ho5ZUX+YnRovoBNFv2Yrbq9pmyGgtDgjXQx+62AhsXSJP9SreSqnvXKa
CuatNe3iKBtfPe7iezMqgwMi1e5lJAmCFjytkUjO3O6+6ftvRajmJ6sax2sZcZE5asT1sZDtSDNj
JwtSc+3UTXbfL0jUnq+195BFLWs6wEodkD1mkiYt/2LWnFsbxT++/i9GSxW2ITQlVR3sAs5OKaiq
pBkXL63l1KzmxDdXOBB9XOA6XVATs3wm5ZonPygSqHtaZ7dgkCSDLORfjX52k8BKOzchvKhQJdO3
OirZe/X9eAI0IZA1YrlrzOWacxf3osXqBDyYHUZXS1rz4xe5cCrT8YFnXey52Lx6E1ey/PS1ox6J
m7I3KYvsJ8qz+QUpi3vIPdBoOyQK3rASY12+5HFpv7I6r1+ySvWffdymLxiPj672+4OT8bVxASSa
0DrlXie7aN4bu+gey8KxPnQQsiFobC94gjhnrss4Z++RktbCrIszhYl8KrjFxTTDZ3btDz2nqHNq
o3O+2XYTPYCsg26hh+IHWjbvwW+F+50FdbeNSVaMNoPbDTfoI+FhqhPGyyRc//K6MJhWVcMei3mt
nB5SryRcilylmuFvY70sD8Iz1Ov5M/a0rje+NvNvFLHeI8voq4eOkHjeWBWoxaWl+TmNBgeR7Vvv
gq7H2ANZLuUmyPPwQtxwf5o4I24hY+bfRZyN4G0ot14zykWKe47mg3AZ+1NoheIzayuylsg9WlYb
me0+90FpwUzvUc4SvxLd2iIqP1yEDr/toafBqEhKupoJoud1HSAgIj9ovJNsERBCzsm8G2vSDqgj
yFRKwnGLgwORkcsz0LZTQ+6kbaqVEzrtaTZlU2/avCVmubT6+ZBPVNPbcor7q28J3IpVxktSu5LF
ua/s7hZB6twn1Yg7e0j67ilNGQ/jXWiOZhq4Z+Hm4S3KHecdeF9GFsgcfgdR/MRmZLwjIgoIbm1O
6SO716w4QIFZYlBmdlKhiPpjNrYMQS1jIlrDmsj9zHx1nzdZnJACHsQPmRyDC/NhE+jbbPR8EDnS
S+12kT7YiVJPITMDwL6R/G5DMt0OQ+SdLT82HwXGzFMCMeQut4filGR9Ea0NFq7bLBuDh6KcpsNQ
jfKUpS2GAN0PcKRyAgjBVHXKNXZ+AlRzrclLuudVsL+5ZHM9Rk0akQoyIKZGD/Ux0qR/GLno901g
8j1rIdpflkJCQbNoPw/I37ezU6J+aGL/Lmrb+ieNm/5gvLvEJeG39NeZAaZ0NQ+6PbhTki5E1RyC
g1V+hl0Fo3GpNg790hgOjTCmjS07eVTMfO9STVwq0zQ+0Ukk8crTstqpeZqOcTxkj4aH7grgs49Z
Oxkz7lufLvsSxBwvq8aSaHViPegPQyxwU1gg4S1WU/8pBln0DzjP44znzmEfoguvvA8TtNlln0yP
LQRgbva2ax9LQuKCdQd0d8W+xHPWWcdVx/wWwJE7uNml68Zo58VFdYpll9O1idT+5RUaMYHB7guK
oBDJOZAT2FmIteY318uTF+5sMtHapFb5ygsgF5bSkOccc+E+cGXAZKV115aHkHFNimlUkoDaG+c8
CWfzmAxd+SxKFhLECnbpeW4M0znH5SReq9p0CTOXmLqRapNrR37paeh0cyanxL4RPmafnACxcNiR
5WX5EarcatbXuez4QAIO3UW5pV4lnf5njHHm1dRM2nLVlMdu9vNNOtMRBqj17rxW2ADi3c59VTZe
F9JUBeWQjIhdO6ZtTfMSx8klD5vstYK4cU/Bhq0xbFAfrhr4PXfB1PvvAUG1NKUutMu83k+QoplD
OzzOUNQ2QVs7z0bK0AL4R870XdRgpkqv874hhe7LbU20/T6WWf5eRqbGvsSxv2KjV5+D2Aq2sQLT
hqHaHg/2mMcnF7TqccLTR//WuPswRE7cCxpZI4VhSd82fCccE/VBkjku0Ggve/cniJ0r5sg++j7T
v4ipj+1NY5nD7xDpGGskdM4URluzTgibEt1HmWCs0ZrHv1eZPEOLeHamsMVQxW7XG+rXdkmVILJT
RStv8Dmx0kGa+9HoiHap8ih/SnhMXpvRHFdJyNKXVPsBUIKwkps9B8N46g0Jkrjqa5A0pbCdt6BT
04/a82mYoUqj+NHANFuun7DrD3NXQ8Fk49muQQJ73Zpf87wawx5ADuDr/D1pXM2HGAzDarK5PiE2
2NZ6jlHGpFPJm4pOjZEGdr8rqSHPuRl51wgd9HNipp5BUmklCO5Cim2lONE4DCswl7Iwn1WWikOK
s3iTVlG7i1h2rnP64mftHEM+8t3s8I8XnbzvCJa9K0ztbGmdIYcEZrHyyrg4FuzN1940RtcOHNTG
cK2LVzC3QPEUrprW1I9hUyV32Zxbu8xIDMg8FnfsSoc2wg6v0d5mCCt71xdBekGm2N5FDYlHWwO8
e3EoskjdtzPF4qqlnXmRg1yUO6qKxcaeSsNlcWSqF0iELp730YleGs46brCJOSoQz3TDkJdza4GZ
Ag01/ADlGq6XbykQtAsuu/gaeWpREUUT4qGBDfTJx8/yBrXS/QZcfLpzmQzVK8KMXCRKlXzksMOm
VTBsfOcFNndi0syaC0MU3KZ5+eTNY3Rfw8HlRFWVTZhZ7Z/IJog/ETURsBhjmWs2GfXmsdRFhKJt
JouJOYvqzEMNdmMH2qiDj5rXouTUnCyS1jqJqirK7aZZz2bBb0lFETt5uCrJFn6NhKo/O8aHYTjd
UwkpSKCQmo1NXZTFw0wo5HvlEQa8adgp3ve+t24cH4FWh/aMqYQzoDXt3Py9y/AZMYJP0wL5V2yy
uAOVJjcyxuC6CoyQ1EJIRvh7zDImxHesLQd2G4/yIRzs4DX0ehqdwYMGuso8HtV10Tddhe4T/uKm
LidoQC5j664znGivXNM/B5PW4zq1o+RbRTLb9MjcDSuaA4Tks2uJ1F3MGO20C01mZUgX/Uhtcnbs
8YMSDi1HnldgS3xiALn0SNDirppuvDOkYwqQKmsVz9QanP5nFSPE6ovyPPrCeeVYkje34jpI0jA4
l8OknkZmjMRs5POrniMPIVIMH5rjNyUZLTZx6nAkzX8z1P63ph//57nGH9OY/uO/NiDZ/64uH8Xv
7v+HEQnLbNzh6O7/9YTkmeu1b5lZ/f5KnDr++sufFvfAX//Y38T/NkMQm2UT6v8FNbiMQf6W42T9
GVM0kAFcM+4i/2fG/rccJ9v5s2T2wZKKP+K7DDD+94DE/nOAlYCkGOHb+JpwVf/DQOTfDUgYEP79
gAQDlkBeyRd0XVbqgbn8/3+YoNVlZhiTY9GehM607pFJrAztH4oBwQmw9Te2kNFqYDu7ZlUx7edK
/R5t+xUGwVvh5eYtbJBNykb/UkiTQGkX/VaNbr8xDMsAF9aUT1ltducF3UmlNJWbGcMLRp700a15
5zQE/kO5MPCjqL5AicYZnkzxdqrkWxUg83L76VY55u+C4h4FN7TVCFVHSdAE7GLjF0IPdNoAxWRl
NN/Zm0ZgTpBNkkaEXJ5QHf6t0fA96fIDJrA7zEFLKh3FGvGq0TVC9L0hksLYms2Etkmk5R0hAOKs
Umc+1Ubt3sWk/o2r2nOKhZYyvYRB9Gwm2YcGwJIRgUCOPFmc9xSScpuOY7hRWLrWcT8R6GQ7/Y06
cJ+1mXNXu9Z4tDPZ7+ZwqjboUpnaNxbiEibv06hXqbT6T6sPLktG5NZqhffIPtXkso23cdNl+6mD
JoN4qLz3yKxbG2MX/hA4og4ujIoT83IOEhcaTIUS45iB/T2RLeT+UO70vSXTby2KucGcOHTLDpi/
IvP+R+8Gxn3oDuaREbhLXa3TDd2Vcz9nbb+TRfU7tZTeG0HjPbQ0MzsdYYntU4vlullRmYMB3GYx
FG0dNO2pKUb75nfzr7qGal8By2CL02dvopreSLKN4QcTP9kFKREanXnnNFm/rSsnxqJlZOtsyD+T
0s8OXhV8DxTtrDvwjwOImeKdtpjzD4V54qbgAfAz4N+4Uc6Jlz8jc3rmekpPvqkQ/Udj8tyFJEJk
HuiiDicyyJgov7Fx8On70ePPWSC2OonJxa6db54A8+lFhrzv0+aV5zX4PZql2ppGWVxmu2o3hYqL
7VB3z6ERAnAct241MpuYu5d0Bgw1mEOw70qWtJib3/NyNA+p6m4W8yZUxxSUbiq6XYHo4cVcspml
67NZDp5BS19LwQ6J9blcDzEWD8IfEcoFA8FX49hFITAvtoz7YlbOsQwThGKMJuur444IzaRhbOI2
yx8CIjrYTkX6SGlT75CQtg+R6oZTGDkJVmH4Dnkcc5wF3X5W9f0CNo3JJmlZopRVeutSx9/bNX2m
IbsXK+rGJ8S70Um7vomkle5BOS4s8tTeZ8lQvOQpvQe/qmGr5TQoFJSK2ro3wnf09cM2zOzmLlEd
bp9Ju+g8cENQ2mL62fRh+7uq23LDAJRAxJEqxwUI9Bihc97UIyxfdhdUB517IrxKPLCPgtsVSgRj
gU4etZXHSF3Zl5npjIXccOefhOYeEoX94H+ydybLrVvpln6VGzUuONBuAIMaFAl2IilRfTNBSDpH
e6Pv26evDyed5ZO2M/N6dgcZkR5k2JIoitj7b9b6lhjcYu/pMRPIcjZuic4Guq9FcjWxmNwS2IGg
pgnddS+kCpJ2YM4rSjbRFHo526GUJdik6SLwB617nhpfPHayc/eVN4XPYCox1elYap0erVVkI9aC
IjgdK9eJHslDqE6opFmUE/pp3qWzoV1TQDN39tP4mc3Ps67qdluICTGmRGjajJey7c3vSP36O4iz
Q6BFDS5ITNoAf8aCMk9pNHZN+RE53fC9t5rsxi2tATG4GPZt6xEfHuJK0tw02RqzfPZof67J4zlC
jEQwjEpSElEC+llfZ4hdcR5Ux7EPgVciH4uDbExC3IfKPZLMG1+GOWRsarTxDZsxY13o3akTUY9f
pa2eUVF3pHxn9TXKsG6tJmZsXQQ/MyNmHqf0HD/2Pi8jHab5LlTz7ejkWWAipqDoH6IDSq1b7iEN
wmZI8IDuyI8aMPfeSLUHyVQb+TjZuIWZtzdF4jngUuYoIIGJhbgZnUacE3eVtItbJ0aBlEV2x3CH
vsFxXZPBG9ZY0k0m1vqEAB7AKHQB4iKHiFgv2yEfriExozAjbsAl/gvAeO9anMKR8x2Yex74IjXW
ePRuGel9RpRn5LwzkUEOAsdCLzGw9vEAAKGZN30XcryE0F+KPHwCFsituLwGsAFoqyOyS4rWN5+9
nqc5dUxB6Pfsn0Gm49Uxe8cmZ9CSw4cmO3wvMSSDB7P0vpwmPmdDx+lLMMugUESa3k0P82KFdcjS
4P2oAcW6AoDgJbQHWnznjkZ5dnURP5XQPDeVSWyeP6unLBc7klfTgMVKnbPm9l9ByMGE9MtvjKc0
VJfpQ1+hl4jHCbhvql/P/XzOfHQJ3HbxI0E65gGck7+ul7+0l0zh1uqlufIyjp4WlXpuzh+dW7z1
rhnyps5sUlLTRSGO4xXtBTpmIoYu8KHqs6dLyF5Q+SIUQesp7L11gTYbQQA9eD3nOeh219o3fVI/
SGSBwdzAzRT4e/bWWLzrGqcQGOogNMONaJ2PKTf3g+18y7qc2MjWyGGrOWyvKOD+U+4+TOX3//O/
3r9lUR5E/Bmjz/YPdavlIsz65+Vu8P6tfv9bjum7JMV0/95/T6M//y5/q35d6xfT4o5Aa+XaYgG1
/L36daljDRuDPBUx3nxGwr9VvzolMwxVyjPHcChLfyt+9V90immEZDrwJhOH+l8pfn+/G1ywRChb
CW7ileCA+50ULI5bc7TYfG0GHCZxPO6ErbZGYxLyZu9+ep/+xMdkLFCKn2xM/O4U14vLf+Gr+Pzf
fyyzZaaVgJebkPy5Ytu7/d2UVfsmcbc5ZILZr14z3Vm3w7NvbTV3vpHZrK+V9YJMa2VG43FMudT5
9P+bV/W79fnfXhXjHRpwXt4Pz/PPxX9YRoUPoyvclGoiAbs6pGIg/sV0twbiMnZaCA2ztaiBNZDB
ghw4mEJ2MqEkr7Jd22Z5+69fEILpP75Pnml5sKfYUBOAy+fl51eUKbfUyJ4KN83cqR2SoAMQA/sO
r2F4Myr8IaWjpTdl2nc1uI4ZmCeM5HZ2qLaT3l5MyG9anTu3nA4pGgYvPNo294+bb8uxQxWXD2/u
+JnSh/QIikSRn0XPrG7A/sHsKicwvEOxDILdavQ1+INVQ8ZGVcwBYd5rIGlnnVx5RtPb0s6DOEWQ
hx2iU9GV0O4Gs7ibQ+49lLB2Bd/Rm4AndGAzSejSzSspkN1UxakR5h49LsOnF4yKB00xM+k/tPyI
LZHp72BdlZRrpr1P/Ke+65/7LiFQb4IzWo7uwW6fCHMklAcrTl/sLKLqsobJZitvZ4QubnydcvvA
OVp7zkS6A3nuijQ75mR+mJ4mB6BPn1+xjdmOTEgEBmugC+22ir1pqyHSBhEUmIL2QuHbtOtzr8QW
LsSIX8Oz+ZnpQMXeb62qwB31LDz/Cpvx2s1xEqQOUAQcIFG/RYfKOrzY182wlmnD28OP8e2grIa7
onawZbMB1ax914psNQ994JKbZcZ1YFRkIN2YeXXKsWFEkbcemEbqun9V2jyZvbfRY7yZ0X0yFHut
vsb2tGUL8t5Twtv2RzUWb03ziQsQz3mFfdy/acAK+dMlqvO9RwZa5rlb5PBryWTzmvTg8j5qwzfp
ZtoZD7QduLDytDLmxp3xua1ZsK/MNvQvWK2KT2kRwL4qS9405GuxwiWTfm+QXN+asyzefSui7rKc
5aEJl/s8VAd3sO9do2M5kpg9Keiyex36BThu+XKH7Q+zBrZ3+ZSVSU4eoRWu8DtTzBKchbEjxIZ4
zy3cbQ3RuEFbs+he5QNuel6FGN+dekr3OcsIWo+ql2fVl9EJ7c6NUzfitp57965lz7j98Zz+55L8
95ckH/9FRPLPL8lrrsYl3Pt31+KvX/frUAgBDBJh4drMikz0L+iWfh0KLZoZgKMQQPnsIfH96VoU
TH7ARXj+wu0FVG3/di86vxhcZpR63LYO39L9K/ei6fOdfr6tEN54loVSl0kTADnX/N1QaPYQYvSo
lQ9TZGG2d9+lG/k8jHV2rdhEnKK0c2D6Z49FmYjAIYJqV+lj+j7ajnuOPcK+x8bbxQ7wYmTrtLh0
5XbuPUo784O09pmodAvndSJMaEjs/rZHM7caTAvkQdml940CWhn7KCA8Zb+i0l6bjThPDSeC56B7
JSMHCn1424EdFahUNnoSkpoWh4+jCr0tzhh2YplzyqxJvLuRke76xN80BfCExPPnc5rN3BpDyzYT
WA9m1YbtoTdshwaphBl7rBU8fN/QAKygyqgORsNd0oQ09PHDbaVsRi7+N+7J1VBmJzAKm6kx7+D7
HIu6lGtcxGsieL4cIxqvNBXGMKgSb96Zqr6PeG9vCrbvxOlp5Q7p3OOo0whrw6lzeDP9trRO8cSv
HFnJNRqgXaXhJMzL6mw5XYMqo8h20dh+0qzP1+ETC3IGKhXqCzLEr2xDpWiNW3yLU4BTc5NiG68y
u2JTl3+1Nhw7XwCssoxg9AShSfFD5cuDKukYaxe/Zg9zVrcNJNNzvNem7hbxSw+qqBkfWbw7B8vN
NmVnjkGUFDhecPqObiX3WSHVPaClO2X1H6FDLyYbO92O4+QBtszsGwezwipFzrqaQkAKoKpInm4h
4YC6cQ4m5uQHKyvurKSyFXM4uwviTE33ehrOrP+btty1WixvRnHGU/xIThiRHrHIL0ON5IdAgrPU
7RsVjwEG5WeZTohRS4SmHZVcPLCyqZuDRnqfTp88SNKvcKVOzhTxp2qu67r9SvJ7NOolraFv7R23
TNcTkzu88RsbxYsOZmdV+Za2DkfSX0uzup56/ZQ4CH/JOl55nseSeTqMjf4YZk8mXkWCTkHEjWL5
2fGh0rVVnZb6IyFxaAam3kE2gat5m6u84UoajF3FAiV3jHcby9txNvwv5LRnK5lXtp5duWF1sViE
93kc4Iy8q2dlvPZ45nSSKKKNTaLzvS9grYbEKq7MyXWY9tXaDY4/52IMM/wLHxZCDlYNVX/VHUk2
jNivTI64pJVVXllhMx1ju/a4USoFdCqXR4LGvENu1N2BPO/0OWY5i0C+a6KTMpV+ULGs95Nby4fG
RdnPR7U5YCSYXtlSEAlRDcVFCas/uG6evtFHupjd0G6kepIwdsnFUYnCP4IoEtxtw7BtDQPfoTaP
56y3s4e5jcYHr8y6qxidxCM7lmZb9VguVnXp1+8tMyWWqKon5cx3zkSClSeqg+EW3oN1jaCnu2r1
2ng14rRjtoc1fKTWPcKpSA618p2buS7Ud8seuTkbAs6/AaJixFug6z6jB4/OcekPJydM22MaegYT
kb7XL5436neD1VfXBOQZpywp1COzB/+MxKs+8VFxT5Y2sIi0ixaFCEpaiqvS3RmpmV7TH8hAte10
G6dKz/9NMW/9GNX/1mOwKICDzoKBW8BjdUCf8Y+1c8KksbCaGReZlOl1addFf4ibvrmuFoNlFxJO
UhrDwIoWE7kxJHMw4AZGmI4TyW67R9E32ja1JvTBbrzwHRqjCBx8HluiZ5s1PlOJ47xDCAFC37mI
XI+PrZ5du6EAC1n584UZNz196KXniRxFiCzq0UGFgR3Qd/bkB2Rrhv/OSk3OQ10rteq6IbsRnYSQ
O0xd+FAOg6ntUDqAG2jcucoDlfONVww/mN0J7Lrw08AsrhvW2uNOz8gJ3fTY5V7xjldRQAVUbJzZ
yB8JYvNeyVO4atKWKFTTu+tcjRQ6xISTJZZVHzyf1qVV1lPQW1l+0ixp76fMQBfdWXfl2J7Q6d2H
tetBAEQa1KODITJkBIcTRuQbR8nKIjJt7Q7xtDbY3zWz3R/Duji5EY9/FE14xHD7D3kEoL2rqcUZ
p6+qQchP1TsDLvXB3mrYOZEjCOe6QCLOGWOkSEGS+K6chQzKTmbX3Ty4C1mIjxKCQnYnutBPQ+m4
p6mLmxN7Wh9lhK4elS7Nk4xEdZ3Q+t4VhtAvKoEDvIZk3R75W48n/J3RedAxlDGS4fPOvKn55sq8
t1cMB9R3+JX5eqzDcVsvT8q0PDPe8vSYy3PULU9U2niYnsPRuk5w/t6WVVSdbD3nflZNj6GLq5KM
gAb2Z4b8kqIft/HyBPvLs6wvT3XoJvkD9LPxDC5LHsreGphQcQ6AtPOP0zyIY2kXybqv8uVzUHn3
2PrSt2g5TeblXJmXE8ZezhpnOXXa5fyZl5MoWs4kXyv1Q+IZiGyk4MgawSM+197cHeIk8w9lO8hj
2nZq3bfCe49TczqWoca2BB/RRWU+ByPBAd2RAkR8MoRWuxGtyJbKWlz4r7WbrpJIawpw0FEEhng9
se3JSeqpCeFtZp8KJWHi0Gw9P8GuajpuPOA1gdsfVOUosrUhrXoCyauy/jp3Yw8RcuWgo2HaOwem
Pzr+HjALfJicgVj5zJKypi9zkrIFrWol7R4tRC9PJm0DU9MmsmuEIl7fwf7JSZOtqwjwu44E1Wbx
rCYZ+NNYyU02OyjqAEkwW6jtZbBW5nGx86rWurG03jx7cnRuR801tqlvNZsaYuBdM9dOAlEqzPQd
EdRputEQ1mH8YQW16OBYQYEVpTf0cS2tandW2qbLUiogxsJdunY5Nl/mlPg29CC5wdkyxbHPR8yo
jFNtteZdgiGhIl/31g0nhBFxPGz0ZioRCOQIUz0dQ0v72PYnMUOMlqGO1MwvzzY5pjRmWojx08I8
XUcs/d0Oo0yIY4uY8DHIinJYWbbL4q6P3+ATDtspHj6N3KrWqCOhOU3mJdSr4ZrMb3ONIf0jcj8g
6fhXk8n6SqAQYEzANWAVaLViV9+5qrhlFnEXF2wrxtS7GCEAeJW5Yi0zbGrok9xjK0a0oUVI9ENk
XRHUfgczgTsvMqyTxv2/0efyM20KbfkboXacShKV1XDhOn+cjTL6cuxBHZoOaeKQFvMR8yTzCUg3
T4anT0FsVNOXX0BHW5N1WFrrpm71GPJuhADhP33ej039f6vPWyDI/7zPC96z9/zHMDSIuj82e8sX
/zoDXSadJroAVsCMAX+E5/yt2XP1X1gm/zQepQ/7uwJA/4V/A6KeoRygdrJEf2v2GI8KC2gfexKw
6jSCf6XZ8xeLzG9VA6/JQ06CAIH/YfRz/iAAqDWCQnLD3pAp+9W54tqtnV0p/Ic4LBNoRlDgJvq1
nsUnQINb7qVXTtpd57+pgXGVockjG5+npBM7knK2hkb0+YlomKt2cKCVpjyy/VkN+lNlYn1u5bac
nV0812xv14ViaJOWR6NGqO1tkQ9vYlLO0rje41c+JMK6FbVz7QhrN1T2rR0a5Cyslti8UartVPpk
rVT3nlbezyNBjSwZbFWsExBOafsxp/eTBEeWAa4Zxda1h7Nbeji+s5NR2te5PT6VFiz+Nr8IR9+U
07RLM0Fwcgt7NHyYCT9l8Wg/NELu6yG+yUK8IK5COtQ49X4Oqf1jmd620t0jKsRi7/Rvbe2TM1q/
xDZvGS0JeerigD1vg3/xE30qB112skku/+mT92fj5aUh/8MfcbFsWsza+dQsDf1PKo4pq81G6ZpN
jGMVgBD5kZUhh+rGmaYbtyYMRCn267O70Yik7fnL/OsXYP9+vr3M0nVCUphlMNSwFkfPzy+AIs2D
URGFGwKK55IZlNfV21Hn+usnB++tMm/sMBG7LpwvcTU/9XlknZj+a4dM0MC6q+8TIIvtzKyZJHEr
2rpGmG3CYj6Nab0Hq8P56UntoLPbzcg2wxqZZsEOUzk+vxpFCaGBm8FCzT6mYlUUobMPfetYjbSd
oL04mRvzc4K0sAKDeNvp0W5uKM559p6tyjyi8Th7cXfMgbBcFVUpj3/9IP3vKaT+6X+1DOf+h7nI
ODz4s3uGaS58U5Y1y6DoX52Yf7Y++q//m3/7r396mP7pj/htt2QSSEMp5YCH42X8fYj241xFW+Ww
XMKA9sOS9tO5asNAZe+k87JZSf18rmJWY3Bj8Oss3/IvKav+gIH+9WAlNsMQNjWe/7tVRsUWOZZi
tjfh8NhNxdl/MLbQwIkxAsUUwgLlxNjqzZ31yO7bB7PJ9rWKmE0/h2MbRCEQKZJA9CR788MekA5l
RrOCXOx6aH9LjwDu7KC8j2m0A1Wiruqi5254MxFIahOMJH2+t0qNodp0Y6l6a2lXrJrrcZ3uQ/HQ
m9fym8pTJg4nQJBMlM9F3a1D8cUGGZK/Sbo942txcGKGZKjGrvssD6ZBW6dq2mUiiZFudOsRuTsc
EfbQ9RadkERRnF6P6i2HfiLy4UP3czbK+m1WzYoABbK6HWsqNw0WMzv/bNMb4SEe6fqkxW6N7Yh1
MbyaVc1T6poXI47vZTofMAxsF3DrIupOdJzTxDiSwAuzvCxvmg79fyVrhB7kOePUTo10NZZxvNKs
4ruD/WidV/arHmus9wikLOSmQNEWk5RjN8l2QvRWIxOJoa2mSXOG7XgBd0B7b30mrriMBa8VGa6z
Kg3zacRWVGhEpWWYv210nTHGSGIl3Wwler4r+TUXcLodfVyDWcqLriv2H/H4bxD4xo9W/h/O+x/H
ra67cINt9w+Lu6TXmzEqNH8zztlj3Wp0Q3ZzGXv4kAjJYTJUQeqKqzbJd2l542TjzjHsY5uhqJh0
q0d8hQophDctonSfaDoi9mEL0inEkGZdrL5gdOfcW7ZTsxhtggr/QZUf9c7e1WV+xEBmoIDPp4WQ
M986qdp77rCpDf+65U8ITvjLhhPhJK8abzMy8TWT462MAYkaCjN1G1QDqBGaV8ItA3NEDVdre0yE
l9qpt71lXyYyy4QtzyMyOn/MdplqH+ISmLkhdrPPmPNNOFy/DHlQvF7rBVZIrZAVcEXGaj6fymRi
49dzDSGWq9IdydoAQb2PrJ32aarv5bC0phr3SNLNp5mQZZz171PpbAukbBnfcMUdgf/CmK44Lp5N
U17H+YNZ12cYvfvGGB7y8W2OnfHIHLagLTPc1yq0ECSp9AW/wUaVxk7EfEQGAbVY+PsK24tOxu+q
B3crmXasvLDAGwW/4VgNFXai+e2n0/VPqgLzd2P8H6cz8yALox6bVv/Hpf1TVTAXupfUQ454oki+
SzRNIW9fWBtvVa1YOdZX2EPuqjC5nrv+Rjb1IR7G6yiCd5w01batXCacpDjFTXlAjX6jTJzwUXvX
eD6DmRZtv+pJScn/zacbe/DvqhmqZLQrJLg6/AoLvP8fi4mmZBLbGyz0Krd2kVHSRLEomLHH4bRP
GaRip0yVt2MGGJRS7LWMQ6oyOsiCuLwA6aiUcF5tdmiFh3mhwfOZleamMKM9fGRW6oIpedTfc7Du
rHS8RHF3DwX4cbYWMpP5TTooT1DrEIzdBgXCrVUYJfxg0Rab0fM4GnvzS++wrMi21U4MUsDWzWW7
SsvhTvX9Bb/fsRShJC0lZycHrV0I/61yZ2NlJf2DMNIbcAMzYNzyK9ditXGs8mFotS94KOnai8SX
0FiDiPiFrPpdDf8XM/1XmWJVGckIzXkFsjrUyGhmj2R55Tzh3t2RVoGYtP4YlMbmBvJnNmzYxeBr
YYJNSmUCg7M0V+geUfuOzKPas65Fl6bl9ih1PBaev9eAjmFW6Z6pgx8xBnKO2y/wAh9lNN4ALpmD
vmvhS7V7K67WldT3DhpfRw17HU9I3safoV7ep6q96kwrECbPe+yAqvUuMtcPdOSXwSZdM/XuM8PE
/wrNtdP9jW8AEpbOVip9y5/+BAd4g/GKWyZ6JqF637voisG0OjhWi1MLWJfZ9bbFaZvC3DWal3i+
X+r/JPIC1R39MjnEefjMEhQ+ARCLdRwS+plnOy+ByYuzecXs4StRiumQuHS6HVR1/Fohs1z5TUzi
FsOV9WzZ1SoWbvscZ+5twdRmpVFf5zVDVL/sL5ETf1apDava/EJrhiPFf7abFBtH8Y1idVt2c77U
oieSd/mKvri0VbI3SWGMi/I+G8RdIuOjbaLEmlkXV7ODCouSOdTawC86Aj6GIJRNzs30EpsDoqhx
n3WIElBZocJos0dL5S+ycU5jbT2l0F5Rlr44c/UwZl274VN9qEL3azatY9gpsRkaRGapIeEYIjLs
0EgHtfTSjWPPp0RyawmYrXBddm6tv9vNnG7AEt8V1vSeVGCykq59AaHGfiYXBfmg06W228d+9q56
t1QQMKONlhwS03kC5IRi1BhRUMQPRiOIX+6O+jh+ZOg9V1qeBkZq7bUBo5muX1BiB4kTPmWMObwa
ULTt34kO6l3yOlczqvFu7YfquumjWyTMm4lPu41BdY6AePKOjaOPM8J6NiuSadv5wGTpLoRymnhf
/qy/jczIAPFtUVZ/xkgIogyEj3Scu9D/TlwoEsuNrV3X3nVpXDvWTd7dxX10qbUs6CyEuxZCXXPV
xt5jBk2bqLh1McOhFnhxSoxm8fckYig9YMhuXlz/YXAU6k2GqemXH6nAMF87ee/KbCe8GoDjLb5h
VmNoIDqTj4t2jvW70YyIyJpPOqZ8dwLayx0VCftAhpljZ5uEQbMfQ/8RN8bwiV5hnbnWS9t5KzHx
XCfmi+dfsnEg0PxWl9AAOCufqxCObRc5gYw+hmaRHn/BY1tnpf8xWla6BTPzgd5vH9Vyj13oWw84
Bn2GwhZT+GwMEyTJ/oCDCa6IX3iHWBGHoYHSDDyZPUUTG4PRnOxvWm0aK08j/dRyve3AsMqp8wcl
KzeYY+PBT7TXYpqe4Sf/0DrPIWS/nrXI2kIsfZBtAlUu9fINSJ0u6If8s+jmnTe7e+iRK5FFGM48
yimpxnvNRttf62BesPpk8fDe4rmCpHMQQ8hoHEb+LNyPrO+v/EF996buAV5cua5icx/HzEAL/LBI
YDKSAhYY+pKKEvftQ2oB6jOyDYX6iWHaFyzXdWzsZCuubGAHRlGfE+AwlE9nVTnX09TuPDpGiIJE
+9Q2oEt7cLRgYH4dtE5N1qLttxjjwRv+bzWHZup2lGml418Sc1G9ex2mt+ylXlLSsgL7qGzCO0sZ
V7w3oHYgPa/Mkja1AGuDqgbdrQ4veGVn4v6vt6R/7uv5H9hp/p068i/dOIC33ts2apAmqn8YyP0K
O+GL/9Y5evYv9qIhXEZfDItBCPy9c/T0X4iV8lFmsOTWF/HhbxM5+xdDZ4y3yAWpT3Ds/P/O0XB/
cZftmwfeji91UVH+BU+Ou8z2/mGaIzxYnCb5o565RGr9XgRHelWf8M/IzKpQ5nY0GszXDXXQevIJ
e1hZJWDEDTFiORglGaJgcF3umsAezVFbga8iQBIRySkfDOzJHRx3ynoSBdAqp/cJZtAHZ1EmybHo
LyLLoY5krs6n2XGzHdBWf+NajP6avFHfkCHPrIOZhSnC/wi9Dkfg2Hx4oSKFRIUepZHbQGJNgbOC
8cqtGIuMLIb5XnbWRJ2wJ3aJs8rsIbB1UV0fFdXjemQQaW6nomMuHo4UUZxeE3zXnCiea+DuSK+7
dNbvQydKX7j25H1hAg4Tuhl/IMeX5yklaBG1fj9/yMJ33kbgH5ycmLUG7ixS1BNaVxNMaE1y/bqI
DfIiyOHIL2PToB+ck3iTa7w7uTkepd7ipciUieSiNqGFpRLnItFCRJUYHwsLGqw8vBKuAS9KTpUS
yccgYHEjL0v9b7LQ5KOJw0OBpAU2BWdZM41Amn3OiaAjzLYSe6VbuJTjWJpXgFs0jFbQp1sga0ei
SZ6miMV94JojGPu5yWnS41wv1vNY5bgd58QKLKSsZxgy8XuU29l33QwxiNT9RIdf5cACVro/NScw
nWydnQaNWJbNROf5fSvHtcihPUn64ZTKd5DnljrxauR4fFVN2LSYINNJX0qtomILaGKI1wr1gh/C
ltzqptpbDT8H9gCEEioZKk5crxVmCQ57uQLk4ZPqRIDgnrU2jJk6H9TWMotx30UaQJDOZdlqSjGR
ntqBn3ctj2ACCG3NY0sozQU8mH0KRdc8qFwV71K3FOMFUkj8I8NVCxGqN5afVeZMr42vCiNw0A4t
l2Jdvhkc/NBNDOEkuzjOa/zRln+xCb0Lg7kc/FOcFM0lUxUYQi9XACT80atvPZGPT4293MYstrTv
ZNU52A4Mo36x3ST7EJRCO29kroorwR8emjzHPitpoMdV3cZq2iP+YUTSayrHLEadMKQmNql2BMAL
PODJF0N557QF0wv2TTy3SbVnk6jBdCsFWyodPVdQ0WdU61A3kw/Jw7V8aUj5Z9dpWu1pP+N6Y/fC
O/QOm8cUYwNbQDsd9WdZTfoLXDrEWTri1GU7zB/Qg+mGIBRYxYorSperRq8HY8X+VGLhVsD2Q/E9
TM35dZDjxggLNCKD9Vn0PhpXHcbDh+OOZFkwHRtfxz7Og6pTCCW1ZnjAlFOelGeF+8Sxzas8S2m5
Hdnyr90o3VTQ8J/nxsXJJRuwrKYHPyge2+IKiI9oV+iwwPJDOacxt7i38Wzs8TbveN3zpqDdYyY9
mquSSRUSWcIdZ9MNn3wTqWfe0uISj+aLtWYwxSW4pC6r9SCzKlBzTodtz5FurLNhzIqNiTkjo+ys
ou9xV6rH2VXqqCdGIjesOc10pdnm8KLxoNAOoDfrVklVda+ZFSsKM63VjFUSzTzac+YsJJ4omwA6
xFgbspl6z9Bo8lrX4WDpOtFdV1WCx3fKi+LQZk3z0iwuIdQE35Ksj3Gv1JzTfZqidfGTxdiB7x53
uA8HrzVjwv5MGgRfjf2zHcr6ZIVKvRqIL5a5HJVuZ+LG4gPLCpGiL9NRIlez+9nkXrqXLBT0KgKV
4+V9ccVVwppWAhT+ZmvSHVZa3SGiyNthOEdQplhp4yB3goahWrPWiLNUa3uIiYfg9xTuvvNpqFdN
LA0rSHS/+T7ZDerXYXRX8Hu5Zew+29dZXV2FIsqBJBP+QeYzeXNBNqRJuyPoB094sdjD7Ui0+j77
4RqP8XXQn6XCQYzbkU3Db6/bUIn0uvoah8lDEYAH3WiAAq8gbnI4LR71/IdbfY6iMUiHqnqN3Iaq
D6+Ld9uWtfk0uQWed1El5klXhfnoL5Z44lu9Ky9O5QL7WTzzXimtm5IkxRvBQPixmtAdLLU0Hx+3
6VOLDZKRZBCS+vPktoJExsWg7xudngUM/owvvdIN78grxM0vfjj7lTd5ry2hGQh4U7M589xCAQgZ
AHMwDI544GyqT/3CChgWagBSd+LDf6AERq2eQUX/QAykC21AW7gDMcKo5ynWmXxiKbxJYl9fY6Mv
V/5QRBc2PflazYbB0oSeyyBKApaAnjyWgCwCY+peS921HlrotZdkwSR0CzChckAnwOXWvps/eAqm
NLsAwLl1wD+FbwoOeviQLRAGCD4PRaFrl3ABNDA0oyHqVZxctAXgIO2y6Jh+5g5SeZ/I202k5/m0
annb1Hpy48ULkCKJ4pOQWuU7uWAhMiugZFgcElQ6M+gzKBruAeKj2vfpMH+myogQF1ZxTUxHoW4K
kTanrOzdTTmI6C1qocJDl9iNnT/uwghdhUsf8B52E6YrD+gTk0ZylyqiXJxe5dsKt7IgKsLUNvlQ
eQFwDQuyLuS2+uw6WfaWqp6ZEduDEel4mqCvgSe7ZJqUHC4NfLoD8v32oZrRk+darVD06zV8G4xt
mSsRmiYFYlS9sa2dzQG0JoG9f3C4Wm5tqDZy3YCKCVcqwYZV6EPzPkOoP3sNzmPccY069AW9q9R7
8163u/JCGxqDGJXId7CCkrbhqKlap3Zi7KCdmrvYG73radZle8xRrsN+0lV6FjFpjIRThK8deO67
1kUfWFfgRbiVKSVYpJY40IxqUQoYU60xKJFdnl5oRRnnOMjyuL8hyqDHb5nvtXYxPTOHQCiRTOUl
KYGqrmyUNsSbNYb1zjAbG2QbS/Uk7IbtwcB6TyOwGL+tLeM5aMi9D3eWciGREl4wDQc/xACG7ToW
z73GE5lnUX/nyqratUlm3AymMsl9cZqWEbPG8UCeqdyBZGlfAY4XtzWK0P/H3Zksx42t2/lVbnjg
kaEANpoNxA17kH0mk2Qy2YjiBEGKFPoe2Gie3h8oqa6kU1Wu47p2HFujUpHKJJFo/matb3k4Jzqi
4iu9unDChGt1CrL4KEdzPNZoTMj5QnF1QwHLuLTyVPgYGi16wLRXuE+tJDTv9HioPpoiLk9McbCS
OvV05XZOAOjLtqxhZTPloSasoymDiCpfC8sqswWx6+OVpvz84JW5vmXWieazZhy3hhPjfJ4mtzVW
Ls3ecxu2yEqbLNfW1liql1gAQt0gluk2PbjRXYxY64Z1htF9/S2Rg+RLBJcKwre8M2Pc9T3hmh+5
ODELV1FentzZjB5W2T0MmnMaZkBZ06A5ekA0uGZ9PAAIpJGuZeRZLKEItyuALXzwvu94H0sDGx2A
wj5gP2oRHrlgOWw+xI5fHT0Sac9eUThnBWr2kuYlPQI6ZDyNnTZmidK4n5NxCrf46G2CRR1pXyEK
huGCZm54cqNRHw/FYKpxh5xJJQfgZuxWnCAYd1DH7c9+GpCIlbORWeQkGpBQXRKasxC1613lVYC9
kyfXm8b85y0I/LpbqzhBgNRNbMhXTjbPKmxlRmIrCi+6Z7ggNiTMxY+Tpk1naOsEVIHf9ni2herB
SLzwjCAnvYKcNJ2myGzfzPeHb+2zOuLAE7DUB/55DMfmZSjc5lKSnXBXE75iVEHgQG9SznNI0AXR
LpYbIhr3PekthcOOQTEjuyZ0p1/pfRCEizAacUQ2qe3Rf+dWkuy6Lp75plXDTaMqsG+mnbAf9cCo
0LIDUaoXesSQr9L18rOlVe0O7HZ0iQ+7uImyvvpYY898bSqkXWmeGA/K0BE7DWBp9p7qmnZj9OCw
lhlk9L3mWZO2T/JK3wmJ+SupTRD99hi2TyFQT9Zbddsdo9DMym3iuK27SIwmPtISAICve7ErB71K
FgSMeWvDDqlDRwX1IASSVq7McqYAxBiqCUuWGh8dmb+HLIsZQCrU6OlK+EZxIoZn2nWIQaluzC7e
2noT71ybWfWi1wxxDjgzd73h5C9uMWVPc5f9zjjK0lVnmdqt3tXdKUuN+iMMgHGfGGZGqcoDfwmT
gZE8MlC+onRKDE0UF40+lkf2cpi7UXMV/rJIYUKCqKvDnWij4BrzMb9CkgBi4HqI45vOy77ULUIZ
Lpds2wN2IGOCAMvFSP4dsBnbvmBqZBCAgaX7jphhj0FbPK0tdxIwhMbOSS7iSlGQFFirD01ku2LF
EMiaDdpOuWta8NXKziON1jSM54dylNm7um34aCjj9cwbL5BxonPhifQcJYi+lnnkN/4CPgbRsmyE
EN8j9/WZ6NhE6E59GzNEbZxwTk8hi2ehJ84aYEB40QigCnWiptfMNZzNNAxZO5eRWbmWQATdJVrM
aO8l1GVDkBSXQf3O6Qh876YypH6f2XNP0bo2eC3MQmgRXaO+tjoEZxlBczuhq3ynCLPZ590YArvL
s+EBUZDQt1DNiz3UPh/tCji3JW7h9DInmFHszZop1UfZDS0FoOwBJ/5nTaB+lDr8f0iW+TaPQhDw
x2KJ+7Z9rp//EL/Lv/02yzI+6BaAW3C+juPMI6vvsywpPyCAMATm25+zZU3jg4W0DG8PSgjTcyxe
7Dt+1/3AF2C6oEubhRPS/mcmWYz1f5lkGQCADWPe5s0DMiZuP2/yQn8sa6yeYhvAxk1hgzrs43RY
LbSs0n5uRl/cGCPFdFUm+hL2PrMPPRkdCmeLm2Jvy/7oNWYEGoQK2Y+J+QrLe9Yqq1wR6CplYq9C
B6mYpAR+CaOuhbgYmai42kCLlt6Uc2Hhxp/22pi5ydIF+X6mxzY3eVtN1wLh1iKtyMKIyYwDR0lb
xMKnGzAU9Tuo9fVbwJBl2VLN4p/MItxLnuFe6S0EvwDx0HoUMeWs7KpNJnDCW20WrRu2BRcx8U1L
L4Q5XBloD8LY9F5jwkcIHaJ5x2bsW9ti7HRwXFF0nZROtZ19XavMHBi1W20/HTQjEit6sWYjJpmL
pUkOX7QA1v4MZ5YftA/SeJu5IHgXgRqTfhlaCriD3bk3fRqTvVaVJBO5VvmiZ2l1ZSUAVybnqfX0
y6mIYu6j6Q6V21Ep4nXs8SbUyI61re6EmfOSSqNeDUC/NmaNWMoJSDx16eg3heakM982Ky9Ld+jh
hSUISlompmiRU+XrK3yLN6KIL8jVdBelm1krnw6C+QubnE2YjSjoWq/W1SLvRAFaURsvR4i4T148
2IT2uOVpagxu4pPQnLuUtLBDHY/NbnA0/RIPMOgavWVRO7ptggR4HvU52SB3qqnkLg06da/Qp5Ek
EtgJsW6TQliiGUcURNq+EJX2uTFbgsYTW7jABwVLhLyXH/vUERc5uEXwMWh0uA3insXsHL1GTl+v
dc7KHcMnzD6FHeZbHTDskwLxcC3JUGeppscvdVl8at1RfvK8SW4pjZNzRu12opVwHkADpqglQv2I
o0EeUdMH2FeccEVawNEvyFdQ+pBvaviVO0/vky3kFnHDA5oWYMAuBuENOt0SUO8sce6uGGYll+lg
MSlNEzEsDZkZxxFTC5RjI5YPraTiXjbsQvZFFY23MFeHfdY3xokirrNIAizVswmQmt26YyHwbmJM
clP71Gd+f/Qhvu2wzJt3je5qIeq6okcjHtdPKaVlDS55aqqlGjS7uvL0BPux32davbIMnnwySTRi
THvAUH7vljutTQZ8GxpvQ0R0f1KOkz1YBZFQi0bjo6iSAX5EEwie7bkyC7KeCEkwIeEcZAz6QYt0
95rbBXL2JBLRVQxpkFmBlZ76dmqPCqrViSc9ozkh7fEWqr1xsJK2oaWpjOIzCK7gWm/HkOmnEYuN
qqtmHQ1SxzFoSO0Cngchx73RFwZvmsfXAhrJJdjE5NTUPWtnf8jXLbKileFaw07KnpikVuvLG7fs
/WtX4jwKM+YpqmyBFzZQazZYr6kIIYtERxH7YiOL0TkaYTNc6HUbboEctMdcL/vLkCnrkw0ODngb
VGlzKcb7EkML8XUU/3dGnZEZIKZi67NhWiZjVd/aOYOoyGK6HKVGtMXeyLU19lly5Qdpf0Oi5HCD
5hJJglvULSxcKensIUrJdqdVeg1dSYUoO3x95yVEObRSq04oVDL22dJ+qIjveECTUbz15ox5xAUt
dv7kardy7MS1atjvGn6l2Uuj7DEA9VTfBOLGF7DOOKVz0/xCRAIbQaMvH+xCN1YaGSwPUUhgSWKy
Q14QyTatTWN0NjFiPEz+SYgOLuyXoLUbyH81DbKGd+fWkpm/CUO3JXPX7cd9keTmMciiaTtmjr0l
fNtFtVzDQzZiA2Jo5z3SwctN1YjuXHm1f+Kv/mz4kI9RbyAjCupwg6+guhIO7m9sovkLkx+1sQyR
PWHb9J48N8tOnaOiLbsUerGJxUESO+06UwCVgehIsadSq9ZGlWXW0k6T8JBQcx4YwVRY/d16b00G
SWE40ZdQkj6LenCZwDeHMqy5x/NUy/ziqTSnasA4Is9BRU5TNox7smWCuypO1Vve6P3Kqc1h2yLf
YSvcicpYO+NEp6iTrBxiqMIwp42mEyzb2iyPpdQQZVjsNeuOgNjUrbkidQwUdowOJCME2zIf67E+
2IzkL41C7bLARc0cIbEiUXHHrXptjDTzWQyXAqcOE5AaVTb5UXm5RrEVQSDWbTM9JGbb6As+k2wR
xl1OJkfYDZukjdN9CD1rzpwK8nU94C0K6/qJdRp35q6QWC56c2BUr0MgqJtppE8Q01pUvb3JvUyd
TQ0P8BpHg7cDboNbCmcy1fzgLXp4NwhOFmnWNScGMeVL2ZkJ+l7SV1kGZYeh5PDg6LIZamUmZ2zJ
srYhbHZkSshsMR8vjF5sW3OadsDhJvb1In2kO32laudl/edwkM2uzxCru7m2a4uGEUmwrOyCcDwQ
kggdNfMMJb07AH7Uby38ue6i1gB6h5LMHqCONqEgdoiOhM2Cwb49Evgwde3L4NcOEjKWPFwf1VGy
zt6Z06xiDrriFeGS2rmilIdWlBN7TRvJfZif/MQgfTJlOB6ozL/lA8g4psJF5pTg0XTF2K6tpgqv
jABXEd9oMncfjG2pT8WJlDv92ERR9tgDJlurMCj1pa4pVW56gdVZOC0jOw9t7BeooCYZixpctySx
UF6aKEejwO2jNYZhx9oSEhPuc4sAGBJgyYIJB0vt8mEAUK41uYOyzsuLM/VFlF+CvdTClZZBGiN8
BM79Xm+MCbFPVcX9tQc69dB7dQqbw4zeMu444wLiWb9E38Po2XSie5M+dI1IwwU8ZBj4ShUeYjRH
LX+X5i7zw2hjxgIpQhHpa6iGTMRB1u70LBLrTrJyYRp3PUcc53hqeMNmXxfICztASgtXH2iKKS1o
4JNgCZlieO2jYfjSl+KV/q9+Iiry2SmVzsQMsOe1p6Et6wgR3E0yipZ5YfZHadY4gUtdXUyWqAkT
ZUwomzBb9imPp0bvzINZuXdi6jEECjCxAmP5Cux3swob4s3SsglWdmrnmxAK9AXRCP11a/ja1icQ
7pZRWbvtbcOBrYKhzmE4/MoqByZMjeUiDyeTj6HL7iK7cC4j0w1OsFaHbTOpdqPFOAQxaDm3gZx3
CTmPzmUspnhlW22KrR2B6oFMCLVpJEOGGt/2i8GSeY19wj8htejWel/IZc0tClNZbF91pGqjR/JB
W1XEOPkwvKNl7+Ye45FosNdTiiHLThj3LUXUy3Xo6+EmbqUfUF31KPu9wrpArazWRj1Yu2xwjFu/
9cJ1Xeqg9jTh7+zRSrbJ2BtEpwYFxurGJGxP9fso9YuT7FMGH53DJhMRmxY92lHd7qo+Kc86Idsr
lDPBtRXlcuHKyXrgQUfH7dQu3UHkiLVFNuyBmE93J/0W8yKJPF/cPHEvncZO71WCGowto76udCl2
U2LZe68arY2MfX2fq5LUyMT3eNSMgKqoBky8ovlwbPT2hmnIhjoVBzipDnhQ6o+aXyBqtcIrNWqf
cHYihwoKjOo5bgSkP6RcFjQtpQM8uRT6cCiBsqxrH8v8YrDIvOrmbQtNPHH0nBhM1LI27c96wkZB
tyZ7NQatz2/AOgYenn/4obP8XaHor/aNX/u0X+wbGsC1uNfRBbLnY0dm2skKtY9kSexGG2HHxQpa
mXZP3Npw5xqG9zi6qrwW4RRcwH2vPhFqELOrpMAHwiaCbdiN5d1getNGt0m7JYOePVHtaadc1UgC
KzeC/G3xCYBmsSgliGuLHi1YlBpFTU6otGjzLUsBa838mgDeSPscOEWwMjXSXrWYBENgbQ+we+G9
taW99jHOPoquw3xnQCaKK69Yocjnok1s+8pKE9h0tlnbK+RtKMRCKZ+o1IOtLRQJk4iJCmWfura7
tahQFmMCZxSz9biyp3C8IV2ApN9kOhJHR9Bc4jKl0g2ye+lKQ+g4KfnT3LaD2n4VbcUICngwi9Ex
oyhcK80oPsLyT8WqjFwyJuvQUUdfSgj0bO5NVgHCuSmKRl03pDTNUYCGj5U2EYjX9ei19CdErpYm
19ArxbmYEhwvIIMWKAZNfV2MyrnAvK3tbAJYVk08FdVSuLAaQKjqw5tqhscmnCqWmHa0seoMIelQ
pRsV0Ds5LA0WJvHLl35vkwwKyLhFF2izpuoK1awtY4qupyTnCc3s9+DTv54igIzk6Q4qOnOhe/vB
G/q9KCycuSwqYP+MzZcybCkFM8DJd2GGOmrZUS8QKAK4XS5dAj2PYq6z1XvJnb6X32KuxHkKU5TH
JRnfHEix0enl04XehyGZHFTyWF+5N7lzfW+8V/oASZm+zvV/r7nt0Zt7gmTuDtK5T+hSJeDMBeTP
o6Q0NmXhNUT30mDU772GQ2XGzWhuQcz3bqSbGxNmaf0pe+9WiFcbGC0i0sqcXizdcPTIuu4qbR2Q
q8GGbm553Pf2ByV1Xu6QTA9YSx3jMNQ2aYxWGfOBJ5y4XlLGqA4N+cyGQSw8l1GgyFV7snAobUcX
tgk3MfotFI+3ZW05q1Qrz5qIol2pccBM+GFnQCMWjHkqZW1sUPoUlMIHSVTihQpp0qzabx3YrF25
DF3KMMy/rbcMA91AG2nbyw7oy8lzyRqr+AyIrplbRhLvhyXAM/pIFADJZZi0TApoMsmSxvnw3nmi
RZ4XUXNDWhpmsq3mJrWb29XOcIJjRQdbzq0sWBg+9rm95YecG11a3npufsl0VbPSiO3d3BrbWuB+
yq3q08CS5sWZG+hubqWnuanO5/bafe+0CbMcd+HcfntzIz6+9+Tp3J5nc6Ou5padXFH5cZjbeFD5
dPTIen1AXbT509zwx9ykybDhqyA8skX3PhlA66ruu3lcgDNCMmDuvNWf31Hfg8d+NGgYxIV4luEw
QjVAK7vYjH70wzUeoh9VVdp2bF3rkDO9bYXvru0RMaCYc3RRftkn3ZoFB4aH+9iOOnurhDQ+NXi2
yYcvZPA6qq4/ZKk1Xmiu0ZwIH/EeKQyKB9Mtj12UN2u001NJ8dQTh9JCaIQzl/CZxng8Rkm4OTzc
hlagjVlDO4EmD40b5MW6HfmpTE8oKit/yp9rrNpEbrdOGLB040ZG6Aj3NGDJ3N+m93ud9X7fIzSD
GKf5ZvjnB+wfHC1fn0AU02Iec0n7FwcjSRnBaIGL2aIPup0ezcfqWXuszv1VcwPfJr/W0qs/f0dr
/gh++ohM09Dh/s0UQm6V8pd37BmwMByP/C0SG/8lxUcPRt2Kx6tkiCaxpJIuL+qxarH6A9B9MeyJ
cDBMjF8mwx7MxThG/oYAFdR3QlJRryff5BkuyGDSt5Ptax+h1jh3jvR41Dl50RO8ZUlCk9pkrHdD
VVT4Burk4OTTsKeS4f7EOGXhSFAVw+RuFeUnw4Ys3pBLWG3GOYLDLezpCRGYv296P92ryna37Zhq
91nU10ekUMkNWy7SV9KOlGNm9uVt6DnTs9VHMeTsfiA7fYjqB6jZ8/0rE+nH94M6K0KDt+JbKfEV
MP6jF/Gnef3vi0p/+pb/t0yOBho3miHQWvyHgIz3w4m2em6fv9HfZ7D9f/8vx+dXpvY/yk+l9Tsv
8G14j5WbaTusQ4coPNOeQVzfrOHig83pOd85SCkmh/U3HaopP+hSoo80GaZ57yP679N7c2bNSyxn
VL/cPmwMP/+EDtW12QP8cIUgUgTaian4V9+QlbYFiqk23KW9zOZ7vMdAnR2zt4THQ1SriQr1Qmq5
u+3MukHBY8tDwZaWParTInwp5249d0c7W8khpfPVGFg2njs+oLnwmAIiFCk3dZLhqYmYa51BbDU3
MtGtYSnjjMeBKZlQ44kKAnKH8ALBgzR1cLNNXIngRblKKxFWFNYl0yjzgJSwf1b+mL+UYWIDrsAe
sC2yvAYtaEdz4qlqHH3Xj47zVI8JjYZZeMO4HfWWcBeRpqrag2PAcVmNoRWvutJg6EwkZnQzlNIO
lvFUV3c2dInbzpUDYrRO+Sxva+eTGJPsNAzGqC0HJRJkAzGwiw3C+XAGAYb6pyoeE0LLGG+wj0ha
eR7ySGHU4Bb9Oba14eDFmXUwuiA4E+CTr+fa+JaSu/sIUMQ+ZVqYnWWGdVprLW+HW37azpPita85
0j8qvPGMOYinMgNye5B3au5GdTVobEQ/4WePPL5wp6VN6IHpdRRPiKSfLkrNMb/0MHSgXgXTW9Rn
GekjQVl9mkRiXXvdiO8/bGK/XmZWHNxLK1VUWl3WnsLS069geECs9wa8/GQQjmqbpMyX8cOr/p6Q
Ru0BOTzVIEBu/Z6BJPhxz6nGZB1RSZxcJxQvZCpXKC1cyGSixW4w6AE6zdyhAUKvnMl1VvoeW5Sk
PcY5k7MF/rl8J5kwNXsrY7jH0jtvnzKm4jUdbte8BZk/3NmqwJzTWC3MNOaG7lL6nXsJcBxmPMTx
NF21ngXEvIob75rtflrxLIzZOhFeA3ls1NIiIvSVQPlFNlaFtY4VWrQNWXHyLSeXjI1uWtn+sozz
clo7lYAdrXlZXJAziByVAjR81AUqCERLAzo5e8CnyFUzYmfo06zf2bnEP8WBxT4bUdVw/BQjgiVx
vzljXbb8ZxuWEdHecAceM3REX6K4lOOhToX/xqql3blx1RmfYaAScUPIk4GHLfMnTqkBwelG1izQ
TyoFT4WhI/dRaKXuHk1q87lzwgF8C3n1Kz3K+HsjGu1oaFGRrFUH0cEqpik+EUTidAtr8NnG9GN2
X7WB9UpKcvSJ5bNPicXurqTFRipKBgBmJl1LLFSjeb8vQwgpDAYdiSZMA0K9YtiaArgpEmLYmEB0
m9Fj14/fZXTfPFU7MD0bD2WkTG02dUMrb4jabfbKUQ27+6zD+JF6zYtX283HOA71K2uYpo2NZKJY
Mftw2DDVnrqZg2U+9rWN5c/u2SBMPDJVyl4Sv148BxsoX60z4bURs6MQgWqZpxwLuHXkC8Sq/Ais
KLnIjcQOcRE75E7HTOH3yDGQpWIGnsiOzJlpkn5WIKUg5mehYumsCYlUn72JERZtZIecpB2n9jJF
i3dGMReChfOL0l+n9jhsiWqwt0aZ6ntyLpDPCj7GT7WXTK+4XQKHnkfH3Za12mUnw+DSY97IDLGw
5LnPyuhWKY0lf6ocY6/3zrSziDg4R25P40gLyQyyzzWo+l3+WBShXKsJFXbj+/5d23HLQesbTJs4
YaSCtafEqtXqiOsAHcZPFOrFdZzW9rqpCOCiqRr2cPqn1w5uvLscQ0TX2yTB44PNeeSzB0gbQkjv
g/ITWOPkk8RdCZjeNMDM24Ossbno7T2fzjAHYwfGNULjZqkIARsPmj30zaJHIedtC5fJgh9puAB0
atiSczUuXujUWShaHSdhpXeeWACyiJ+Mwiof7arH4lhV9Sxl7yzCWC2mQ6RDJzFysVbSy25FqZcP
TWzEyVm4CFL5SExuOoHOfN7U6L4uwnhkwK44/NNaRu0MkSxHQkNE2uNKqvWxQTZalfUluYHgXvvc
G5OVDIR3VVcyfRnCIPwSanWxKhs9ugtEjefPS00eN7D44V5i/Q+XLGvl2h8NPEhBLqOdlet0R1pR
DQdLVQMDotFPD12v0J3aKs2aZVq0xRURC6pZkcAAi9H1h1NfVua00ojH2Kos1PcGBDb4bF1qLYeM
QnRTmWZ8NGuDKYooWhOsihlu1XBdU0UGi7BoWB3WpJYex5iM7C7LcnuhV5aeLCsni19kleToIs2L
fiAqesFekn9FO1/dlIVsPpopG0KaFN0kErfF3NYkwJQWBcOiVQBv7sBlYxcfMzZTCLHbZicdSlIm
Gc5iNNJPLCIQ8TszViWpPGsR5l56CM2e5pTFTZVAKvdtHYnxlHMfAiVQG2fTHW6EAV3K1RHEpDwN
eFCj0Exxil0EUzFPVnwXgEDTnnO/U18sHj5b8PGMXj1wn3XvrCb0zLupNwOau6a5Nwfb3LmJLbl0
UyJbWtew3qBk+QqhkfJOHQ78TZL2HXQ3JvQHA28l+5aoY8lgwOI1QZ+CJo3i4QiEitVdUOgrT/ls
YG1u5Ou4z1HsGkNQjEuLAQekfMfwk2XI9GfbxKMXL6aoSvZT1BRnoNbpYeBUO7puS/aeF1kXWInd
ChVt1zx6nGfoK3P3s4M6Ip/9t9W1laXumWkZobptmxNXUPr+ggWVePU4YUgZN/KbKvYgIaRTZK1J
JbN2ut2W93oO6qTv+PgLr8LTESawCnqRTCztnEBfGDKWVzni+s8k0UDBqZEdL526LWeUDRjptkIa
i5r28xAY5ckBbXWZs42HypzEwVVjN3JtEkjM0PrdLk8kWEvNJeRTNplw8eBBDPeOFUEos8kSe/PD
KgSko4E47UqZLdOMqxCIamvwAMUN9ElZo1xLBfJNs0ylcwPwg09SJ2h4EURqeNIc4uWTzoKhEbcx
BB/k3NvQLeU1ilXzwDAq+cLPW59k0Iwv3tRFBTyasaE8iwBwLlTttndkemUYe5veJn4tiMimd+Dk
3LhB7W7wqvQPEy39RmIXfvaEQ6lBbHJPknDjs1T16zavl6Iygy0fVX80AmyMK/Bu9U3EhrCifJnx
GO2UcqfCBNOmAFPDOmKXrXXFtmuROuzLutUDmGmYqTapERpXoCygDMheBQvRMPbYkLKiwOjWLmr2
CEnlBfgMoLWFNTQtTkkPB78L5NtcshuE1u2Pff2pb6M6XtXMXrDnTql/yRTcBOFIW7/nDPEmxMtR
+xyEkocaEz/jnCjJ8QfoZxHUkMXdTmAAebCssDpjwm+SRU0/dI5Hy1spQ6E/Fbq8iBrbvTZYAb1F
RuWmC86CXKx57uKqlqIj2ixxa/uWpWiEYnykJFj0dRPmJGRMZYSHghbm5NqZ8je9sq2dTEVRAG61
gJqkKndBQ/CoUJciIncQe1MWBMvBK+TWIQnxnKairFaT17tYg73U+hJnmgeN2MO/79naiApd019d
N+06olQnnuQJ67MZI8GyZVF11VBir4oxIDVtiGQmDb4IdDXndmJCN3qlEW2oMdEHW260nmRR33Qu
25uaAd/RyBvX2YxUbfHKGsg/8ULX5T7VJbhxncZ/9vpKnPWcEmNN1etpyzrz7HQ9lA67J9bz2heY
whM1WlfvmYTNUYGKTGbNz4d1LU0uE4vnMsrrAaZwFevFs+lVpTjFinRqX7Gt5G/DqdBTZMh5WfRi
QQgSoSScVWKJxy88EQtq7c3EDa4TPWO9QL6mNOiABFbqGlGGWkpeMriPI4ufyWB7/FD20gXyAR/+
S8Hk9IxnbkwodcARE75JllesTXDRBz7kemA9atbt2vFRB+BdogJcjAF5MEHetutuInKGWIHEXth6
UD6HqVZfJMNEqO9gsH3VWoTrowXpb0tKjRwugY5pd0pTvIobEtoaMCGhJaPnnPe1nX8AzVd/HlNv
hg7AJT7z5C5xpYnIu4CfkbPc16HjD0NhbnVsLTAjiejBYTasg1pUawAEybDIYzntrRhbGQk+3dor
NMgDY9Nd8kNbBzxo+iN1QLVGYYlDiXgcjYsmLRay9yd0X4wOsfYFqAHipDsXFuCQRWYyMVr4FWMz
hLrRDT6ndG2UHgM02/XsCz0TlFN24q+F479Qp3pbnWtyXXQtg3XPC55EnbUvo85WfaFBil8Fo0ie
gqaQN8FkMLSjO4gPfaGl20nLMpDJ7XBHwNgJHTBYW3QAN6zDuC7FgCjJd+zh4Faq31llGlwQ/Jhw
3J2IFKGU6C+Evfa2SHTxsaonPB5FVDhzhU7Ae6jrrCzkVyF8EFPNJpH+YnOL2UWUpaAsh7i5RIbQ
cRKRG9TVoICwT0dxuwrMKd0XGD6iBSvY4g4KtLuhhHNOjjNYt9ZUmHvpNNqpaLAn9CiNUdfGjrqr
tBI3NndesXcC113LQYV3XHr+p9ARGE5dvyNs2gsY/zedwm2V5oBmMZCFkIpD56Qs4dSLynWJBzMd
Pbm0NbPbhWiiryIxITvzmV5f12kVsMPRATFjTJR7PwtGssm7uL1FSB7dE1agTozZ7M9cu8bJCGvv
rcIot6m92AfpI0YsflpvMT9vC6p6I4n3uKViknd0HAe6YpaRtdyvcFgJOEZuFu/TvAtXXZ5lW9+t
sNN7GqlvpVOyPrWGCy3ll00kLwLkIcdC2QYFvB42qx9rHnUh78ZyRtdxYUWEy93iH3fv2rAjKm7s
2I5Cle6dTZXEjPhNMVwWhQaaeK5c7CWJVPmdkRmwRiwVnwpLfJE0g0BsqqRpVgO2iyMjVgmqz6rX
KknI4UVA1j84PJT5LKeqcDedKtrXhEHs8r/RnKeln5vpzhwJQWjTehhWuhMXeLhgMFyzSce0n3qx
3nylyf1nTxH/D4RJfvsR56ne+h0UedO91eP5renS9rdcxfmrpyLK27vif++bvg/lfv+Fvo0T/xeI
SkICHIaCPwmI33+o95/4z14jfW6jtntlVmmgHcZZr+tz9CRg3+Db/5cu/nipC2zu7+/ww1H5o9/7
z3+lrwfwz7/npx/5M21qOx/4gACXH4ep7yisv/JL//IK//FLC4akLIIkYUTe1z8//+7eTNdkhOrZ
+vsfCAC83//9Q/BnSU1sSCygSH/lOPzyMj8cB/cDwZ9oZFCNv/9Bu/3jOSA/INxmIWEbX4/S19CL
f6Xj4BiuyXgXetTfOhDQG1xddyBN/XIVeB+AZrmgyXkcz3/48r/WmSA9hKLm1xP064bmtzvKP3EX
4IJwaGMAyQEJm//8ciIYH4DJ6w5nw9fD8C93IrA+Mf7urVCYH1wbPC+Rzr93EFz5wZNCh7LAhuZf
6ySgEjZ+3Uj90w8C64NkFyqsPzgFnA8Ge0pCub7dMr9ecv9C9wLLwP7yd+8D3gcLMiJZaN7vnQKS
g6C7HmlpXy8D7+sp95cOwl/4pt+qC9zX6et7XRG9Nb9XfvzRN3x/vP7j1789Wt/jqVm8//SNc5nx
9b3ffiNj/4+fHhrvz74fvvj9Wfj+Pt/++bdf8B/f+qf3+v5bff+fu+itfq4/ky33/tbffsyve1So
sCFhg6f6+fWtCX8qAWyHVf5//ED/EGr429PgT1+/aZ6z7y8zH5l52/n9779be/2ll11E4XP9/WXm
l0VEwQ367/60u+d6fM6fv7/Q+yeJOYNT/m+/cpQ9fw6f09890pCcKTP+7lscnkH8/Nt/fc7Kf/+3
i2fEsNFPR4jbiscN5e++y8VznVOYJz8fpK83x7/92pyn6S8vbM3L+r/7wsfnpAmfX/u3t/J/snZt
uw3CMPRX+gmrmCbtZdIu0rRJdNWGtOcUohLKQArkgX39TihhzQobi/2Kyokxx45jXNuB9e/Wfth3
F8LJGIss76ZtyBYO0Bd4yRTEdzi9FaFjJ8PL3JrMpLnUuvPAr6L12l0IV8vWVIXYOZxeapQIMkj9
KgqBpKHwTiyoZ7pkwH5Th4PyHFZ0gTZh7inCtZGID1WuNiIzDstqZDheUvnd/4t1yrVEaLTNwPB3
2bSrO1lh5J4n/TEipEofCzhzOKxWexwfgg0q+qMpgN6eyj0G9GTs2pPY4qIS0S0VThbsyuPYi41K
6x2mAD81dtxh48AtexArYuIvA+tvtanmtyckl1FhyUCjWH3W2g8HAI2y/2uGHTbR+G7nM2gAZ7De
f41kHgO8sJDpj8mWRPRYVFZPpzSCmpDpsPV2VHuI5R4xjug8qxjgGYLJB1nmyklpDeAIbXM0VMln
JyMMSzDsh/fYsTJ11jWzVz6HES/py0kkz4JuCcQVnrEVzHZjYKBQIuFF9z9j/O8UF5VHS+tSiWqa
9kchMz5+FWTqvDkmac9PoS7/PHWbf8S2v0hLKfTNFwAAAP//</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Calibri"/>
          </a:endParaRPr>
        </a:p>
      </cx:txPr>
    </cx:legend>
  </cx:chart>
  <cx:spPr>
    <a:solidFill>
      <a:srgbClr val="758B8B"/>
    </a:solidFill>
  </cx:spPr>
</cx: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microsoft.com/office/2014/relationships/chartEx" Target="../charts/chartEx1.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15240</xdr:colOff>
      <xdr:row>4</xdr:row>
      <xdr:rowOff>0</xdr:rowOff>
    </xdr:from>
    <xdr:to>
      <xdr:col>2</xdr:col>
      <xdr:colOff>853440</xdr:colOff>
      <xdr:row>8</xdr:row>
      <xdr:rowOff>7620</xdr:rowOff>
    </xdr:to>
    <xdr:sp macro="" textlink="">
      <xdr:nvSpPr>
        <xdr:cNvPr id="2" name="Rectangle: Rounded Corners 1">
          <a:extLst>
            <a:ext uri="{FF2B5EF4-FFF2-40B4-BE49-F238E27FC236}">
              <a16:creationId xmlns:a16="http://schemas.microsoft.com/office/drawing/2014/main" id="{83FFBA0C-DC64-A545-AB54-3567A4E586E1}"/>
            </a:ext>
          </a:extLst>
        </xdr:cNvPr>
        <xdr:cNvSpPr/>
      </xdr:nvSpPr>
      <xdr:spPr>
        <a:xfrm>
          <a:off x="15240" y="731520"/>
          <a:ext cx="2590800" cy="7391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500" b="1">
              <a:solidFill>
                <a:srgbClr val="FF0000"/>
              </a:solidFill>
            </a:rPr>
            <a:t>TOTAL</a:t>
          </a:r>
          <a:r>
            <a:rPr lang="en-IN" sz="1500" b="1" baseline="0">
              <a:solidFill>
                <a:srgbClr val="FF0000"/>
              </a:solidFill>
            </a:rPr>
            <a:t> ORDERS</a:t>
          </a:r>
        </a:p>
        <a:p>
          <a:pPr algn="ctr"/>
          <a:endParaRPr lang="en-IN" sz="1600">
            <a:effectLst/>
          </a:endParaRPr>
        </a:p>
        <a:p>
          <a:pPr algn="ctr"/>
          <a:r>
            <a:rPr lang="en-IN" sz="1600">
              <a:effectLst/>
            </a:rPr>
            <a:t> </a:t>
          </a:r>
          <a:endParaRPr lang="en-IN" sz="1500" b="1">
            <a:solidFill>
              <a:srgbClr val="FF0000"/>
            </a:solidFill>
          </a:endParaRPr>
        </a:p>
      </xdr:txBody>
    </xdr:sp>
    <xdr:clientData/>
  </xdr:twoCellAnchor>
  <xdr:twoCellAnchor>
    <xdr:from>
      <xdr:col>4</xdr:col>
      <xdr:colOff>15240</xdr:colOff>
      <xdr:row>4</xdr:row>
      <xdr:rowOff>22860</xdr:rowOff>
    </xdr:from>
    <xdr:to>
      <xdr:col>6</xdr:col>
      <xdr:colOff>868680</xdr:colOff>
      <xdr:row>8</xdr:row>
      <xdr:rowOff>15240</xdr:rowOff>
    </xdr:to>
    <xdr:sp macro="" textlink="">
      <xdr:nvSpPr>
        <xdr:cNvPr id="3" name="Rectangle: Rounded Corners 2">
          <a:extLst>
            <a:ext uri="{FF2B5EF4-FFF2-40B4-BE49-F238E27FC236}">
              <a16:creationId xmlns:a16="http://schemas.microsoft.com/office/drawing/2014/main" id="{1B2732AE-A288-C82E-8137-818C4067C0B1}"/>
            </a:ext>
          </a:extLst>
        </xdr:cNvPr>
        <xdr:cNvSpPr/>
      </xdr:nvSpPr>
      <xdr:spPr>
        <a:xfrm>
          <a:off x="3520440" y="754380"/>
          <a:ext cx="2606040" cy="7239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500">
              <a:solidFill>
                <a:srgbClr val="FF0000"/>
              </a:solidFill>
            </a:rPr>
            <a:t>TOTAL NET REVENUE</a:t>
          </a:r>
        </a:p>
      </xdr:txBody>
    </xdr:sp>
    <xdr:clientData/>
  </xdr:twoCellAnchor>
  <xdr:twoCellAnchor>
    <xdr:from>
      <xdr:col>8</xdr:col>
      <xdr:colOff>0</xdr:colOff>
      <xdr:row>4</xdr:row>
      <xdr:rowOff>7620</xdr:rowOff>
    </xdr:from>
    <xdr:to>
      <xdr:col>10</xdr:col>
      <xdr:colOff>861060</xdr:colOff>
      <xdr:row>8</xdr:row>
      <xdr:rowOff>7620</xdr:rowOff>
    </xdr:to>
    <xdr:sp macro="" textlink="">
      <xdr:nvSpPr>
        <xdr:cNvPr id="4" name="Rectangle: Rounded Corners 3">
          <a:extLst>
            <a:ext uri="{FF2B5EF4-FFF2-40B4-BE49-F238E27FC236}">
              <a16:creationId xmlns:a16="http://schemas.microsoft.com/office/drawing/2014/main" id="{0D86C911-7DDF-B929-0F03-6968F9ACA6C7}"/>
            </a:ext>
          </a:extLst>
        </xdr:cNvPr>
        <xdr:cNvSpPr/>
      </xdr:nvSpPr>
      <xdr:spPr>
        <a:xfrm>
          <a:off x="7010400" y="739140"/>
          <a:ext cx="2613660" cy="7315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500">
              <a:solidFill>
                <a:srgbClr val="FF0000"/>
              </a:solidFill>
            </a:rPr>
            <a:t>AVERAGE PROFIT MARGIN</a:t>
          </a:r>
        </a:p>
      </xdr:txBody>
    </xdr:sp>
    <xdr:clientData/>
  </xdr:twoCellAnchor>
  <xdr:twoCellAnchor>
    <xdr:from>
      <xdr:col>12</xdr:col>
      <xdr:colOff>15240</xdr:colOff>
      <xdr:row>4</xdr:row>
      <xdr:rowOff>15240</xdr:rowOff>
    </xdr:from>
    <xdr:to>
      <xdr:col>14</xdr:col>
      <xdr:colOff>594360</xdr:colOff>
      <xdr:row>8</xdr:row>
      <xdr:rowOff>7620</xdr:rowOff>
    </xdr:to>
    <xdr:sp macro="" textlink="">
      <xdr:nvSpPr>
        <xdr:cNvPr id="5" name="Rectangle: Rounded Corners 4">
          <a:extLst>
            <a:ext uri="{FF2B5EF4-FFF2-40B4-BE49-F238E27FC236}">
              <a16:creationId xmlns:a16="http://schemas.microsoft.com/office/drawing/2014/main" id="{C75EABB6-CF76-CE52-E48A-4C72297999D5}"/>
            </a:ext>
          </a:extLst>
        </xdr:cNvPr>
        <xdr:cNvSpPr/>
      </xdr:nvSpPr>
      <xdr:spPr>
        <a:xfrm>
          <a:off x="10530840" y="746760"/>
          <a:ext cx="1798320" cy="7239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500">
              <a:solidFill>
                <a:srgbClr val="FF0000"/>
              </a:solidFill>
            </a:rPr>
            <a:t>TOTAL SHIPPING COST</a:t>
          </a:r>
        </a:p>
      </xdr:txBody>
    </xdr:sp>
    <xdr:clientData/>
  </xdr:twoCellAnchor>
  <xdr:twoCellAnchor>
    <xdr:from>
      <xdr:col>0</xdr:col>
      <xdr:colOff>762000</xdr:colOff>
      <xdr:row>5</xdr:row>
      <xdr:rowOff>144780</xdr:rowOff>
    </xdr:from>
    <xdr:to>
      <xdr:col>2</xdr:col>
      <xdr:colOff>144780</xdr:colOff>
      <xdr:row>7</xdr:row>
      <xdr:rowOff>114300</xdr:rowOff>
    </xdr:to>
    <xdr:sp macro="" textlink="A15">
      <xdr:nvSpPr>
        <xdr:cNvPr id="6" name="Rectangle: Rounded Corners 5">
          <a:extLst>
            <a:ext uri="{FF2B5EF4-FFF2-40B4-BE49-F238E27FC236}">
              <a16:creationId xmlns:a16="http://schemas.microsoft.com/office/drawing/2014/main" id="{C5159C22-3083-3CF3-E6C9-5C9B6765679F}"/>
            </a:ext>
          </a:extLst>
        </xdr:cNvPr>
        <xdr:cNvSpPr/>
      </xdr:nvSpPr>
      <xdr:spPr>
        <a:xfrm>
          <a:off x="762000" y="1059180"/>
          <a:ext cx="1135380" cy="3352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2C130C77-02A7-416D-9E7D-6252FCD94354}" type="TxLink">
            <a:rPr lang="en-US" sz="1200" b="1" i="0" u="none" strike="noStrike">
              <a:solidFill>
                <a:srgbClr val="000000"/>
              </a:solidFill>
              <a:latin typeface="Calibri"/>
              <a:ea typeface="Calibri"/>
              <a:cs typeface="Calibri"/>
            </a:rPr>
            <a:pPr algn="ctr"/>
            <a:t>100</a:t>
          </a:fld>
          <a:endParaRPr lang="en-IN" sz="1200" b="1"/>
        </a:p>
      </xdr:txBody>
    </xdr:sp>
    <xdr:clientData/>
  </xdr:twoCellAnchor>
  <xdr:twoCellAnchor>
    <xdr:from>
      <xdr:col>4</xdr:col>
      <xdr:colOff>609600</xdr:colOff>
      <xdr:row>5</xdr:row>
      <xdr:rowOff>175260</xdr:rowOff>
    </xdr:from>
    <xdr:to>
      <xdr:col>6</xdr:col>
      <xdr:colOff>274320</xdr:colOff>
      <xdr:row>7</xdr:row>
      <xdr:rowOff>83820</xdr:rowOff>
    </xdr:to>
    <xdr:sp macro="" textlink="A16">
      <xdr:nvSpPr>
        <xdr:cNvPr id="7" name="Rectangle: Rounded Corners 6">
          <a:extLst>
            <a:ext uri="{FF2B5EF4-FFF2-40B4-BE49-F238E27FC236}">
              <a16:creationId xmlns:a16="http://schemas.microsoft.com/office/drawing/2014/main" id="{1BCDDE91-84AC-BF4A-9629-DCDB60B5E77C}"/>
            </a:ext>
          </a:extLst>
        </xdr:cNvPr>
        <xdr:cNvSpPr/>
      </xdr:nvSpPr>
      <xdr:spPr>
        <a:xfrm>
          <a:off x="4114800" y="1089660"/>
          <a:ext cx="1417320" cy="2743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96A664B-4CD6-4F40-99DC-718578A6972A}" type="TxLink">
            <a:rPr lang="en-US" sz="1400" b="0" i="0" u="none" strike="noStrike">
              <a:solidFill>
                <a:srgbClr val="000000"/>
              </a:solidFill>
              <a:latin typeface="Calibri"/>
              <a:ea typeface="Calibri"/>
              <a:cs typeface="Calibri"/>
            </a:rPr>
            <a:pPr algn="ctr"/>
            <a:t>6177861.84</a:t>
          </a:fld>
          <a:endParaRPr lang="en-IN" sz="1400"/>
        </a:p>
      </xdr:txBody>
    </xdr:sp>
    <xdr:clientData/>
  </xdr:twoCellAnchor>
  <xdr:twoCellAnchor>
    <xdr:from>
      <xdr:col>8</xdr:col>
      <xdr:colOff>754380</xdr:colOff>
      <xdr:row>5</xdr:row>
      <xdr:rowOff>170329</xdr:rowOff>
    </xdr:from>
    <xdr:to>
      <xdr:col>9</xdr:col>
      <xdr:colOff>792480</xdr:colOff>
      <xdr:row>7</xdr:row>
      <xdr:rowOff>76200</xdr:rowOff>
    </xdr:to>
    <xdr:sp macro="" textlink="A17">
      <xdr:nvSpPr>
        <xdr:cNvPr id="8" name="Rectangle: Rounded Corners 7">
          <a:extLst>
            <a:ext uri="{FF2B5EF4-FFF2-40B4-BE49-F238E27FC236}">
              <a16:creationId xmlns:a16="http://schemas.microsoft.com/office/drawing/2014/main" id="{B9A65E09-878E-14F2-A1A9-58874B8F155D}"/>
            </a:ext>
          </a:extLst>
        </xdr:cNvPr>
        <xdr:cNvSpPr/>
      </xdr:nvSpPr>
      <xdr:spPr>
        <a:xfrm>
          <a:off x="7782709" y="1066800"/>
          <a:ext cx="916642" cy="26445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2D549DF8-D438-4C51-B0A7-8E17C346A699}" type="TxLink">
            <a:rPr lang="en-US" sz="1400" b="0" i="0" u="none" strike="noStrike">
              <a:solidFill>
                <a:srgbClr val="000000"/>
              </a:solidFill>
              <a:latin typeface="Calibri"/>
              <a:ea typeface="Calibri"/>
              <a:cs typeface="Calibri"/>
            </a:rPr>
            <a:pPr algn="ctr"/>
            <a:t>16.89</a:t>
          </a:fld>
          <a:endParaRPr lang="en-IN" sz="1400"/>
        </a:p>
      </xdr:txBody>
    </xdr:sp>
    <xdr:clientData/>
  </xdr:twoCellAnchor>
  <xdr:twoCellAnchor>
    <xdr:from>
      <xdr:col>12</xdr:col>
      <xdr:colOff>794207</xdr:colOff>
      <xdr:row>5</xdr:row>
      <xdr:rowOff>169333</xdr:rowOff>
    </xdr:from>
    <xdr:to>
      <xdr:col>13</xdr:col>
      <xdr:colOff>740419</xdr:colOff>
      <xdr:row>7</xdr:row>
      <xdr:rowOff>72160</xdr:rowOff>
    </xdr:to>
    <xdr:sp macro="" textlink="A18">
      <xdr:nvSpPr>
        <xdr:cNvPr id="9" name="Rectangle: Rounded Corners 8">
          <a:extLst>
            <a:ext uri="{FF2B5EF4-FFF2-40B4-BE49-F238E27FC236}">
              <a16:creationId xmlns:a16="http://schemas.microsoft.com/office/drawing/2014/main" id="{837CF3EF-6EE5-B6AF-114E-F3A654217B09}"/>
            </a:ext>
          </a:extLst>
        </xdr:cNvPr>
        <xdr:cNvSpPr/>
      </xdr:nvSpPr>
      <xdr:spPr>
        <a:xfrm>
          <a:off x="11292874" y="1063037"/>
          <a:ext cx="915175" cy="26030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1CD270D-B09D-43EE-AFE6-7177C98B0238}" type="TxLink">
            <a:rPr lang="en-US" sz="1200" b="0" i="0" u="none" strike="noStrike">
              <a:solidFill>
                <a:srgbClr val="000000"/>
              </a:solidFill>
              <a:latin typeface="Calibri"/>
              <a:ea typeface="Calibri"/>
              <a:cs typeface="Calibri"/>
            </a:rPr>
            <a:pPr algn="ctr"/>
            <a:t>377122.94</a:t>
          </a:fld>
          <a:endParaRPr lang="en-IN" sz="1200"/>
        </a:p>
      </xdr:txBody>
    </xdr:sp>
    <xdr:clientData/>
  </xdr:twoCellAnchor>
  <xdr:twoCellAnchor editAs="oneCell">
    <xdr:from>
      <xdr:col>24</xdr:col>
      <xdr:colOff>459252</xdr:colOff>
      <xdr:row>0</xdr:row>
      <xdr:rowOff>0</xdr:rowOff>
    </xdr:from>
    <xdr:to>
      <xdr:col>29</xdr:col>
      <xdr:colOff>32070</xdr:colOff>
      <xdr:row>12</xdr:row>
      <xdr:rowOff>9408</xdr:rowOff>
    </xdr:to>
    <mc:AlternateContent xmlns:mc="http://schemas.openxmlformats.org/markup-compatibility/2006" xmlns:a14="http://schemas.microsoft.com/office/drawing/2010/main">
      <mc:Choice Requires="a14">
        <xdr:graphicFrame macro="">
          <xdr:nvGraphicFramePr>
            <xdr:cNvPr id="14" name="Region">
              <a:extLst>
                <a:ext uri="{FF2B5EF4-FFF2-40B4-BE49-F238E27FC236}">
                  <a16:creationId xmlns:a16="http://schemas.microsoft.com/office/drawing/2014/main" id="{B38738BF-E3AC-4ABB-A190-641E621D9D0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8897343" y="0"/>
              <a:ext cx="2632363" cy="22261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459251</xdr:colOff>
      <xdr:row>11</xdr:row>
      <xdr:rowOff>183018</xdr:rowOff>
    </xdr:from>
    <xdr:to>
      <xdr:col>29</xdr:col>
      <xdr:colOff>22662</xdr:colOff>
      <xdr:row>24</xdr:row>
      <xdr:rowOff>41906</xdr:rowOff>
    </xdr:to>
    <mc:AlternateContent xmlns:mc="http://schemas.openxmlformats.org/markup-compatibility/2006" xmlns:a14="http://schemas.microsoft.com/office/drawing/2010/main">
      <mc:Choice Requires="a14">
        <xdr:graphicFrame macro="">
          <xdr:nvGraphicFramePr>
            <xdr:cNvPr id="15" name="Segment">
              <a:extLst>
                <a:ext uri="{FF2B5EF4-FFF2-40B4-BE49-F238E27FC236}">
                  <a16:creationId xmlns:a16="http://schemas.microsoft.com/office/drawing/2014/main" id="{D42B7223-2AFB-4D53-99D0-56DBFBE4A314}"/>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8897342" y="2215018"/>
              <a:ext cx="2622956" cy="22603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484908</xdr:colOff>
      <xdr:row>24</xdr:row>
      <xdr:rowOff>23092</xdr:rowOff>
    </xdr:from>
    <xdr:to>
      <xdr:col>29</xdr:col>
      <xdr:colOff>1710</xdr:colOff>
      <xdr:row>47</xdr:row>
      <xdr:rowOff>83344</xdr:rowOff>
    </xdr:to>
    <mc:AlternateContent xmlns:mc="http://schemas.openxmlformats.org/markup-compatibility/2006" xmlns:a14="http://schemas.microsoft.com/office/drawing/2010/main">
      <mc:Choice Requires="a14">
        <xdr:graphicFrame macro="">
          <xdr:nvGraphicFramePr>
            <xdr:cNvPr id="16" name="clean payment_mode">
              <a:extLst>
                <a:ext uri="{FF2B5EF4-FFF2-40B4-BE49-F238E27FC236}">
                  <a16:creationId xmlns:a16="http://schemas.microsoft.com/office/drawing/2014/main" id="{4B717F26-384C-4495-86B0-FA523A80C055}"/>
                </a:ext>
              </a:extLst>
            </xdr:cNvPr>
            <xdr:cNvGraphicFramePr/>
          </xdr:nvGraphicFramePr>
          <xdr:xfrm>
            <a:off x="0" y="0"/>
            <a:ext cx="0" cy="0"/>
          </xdr:xfrm>
          <a:graphic>
            <a:graphicData uri="http://schemas.microsoft.com/office/drawing/2010/slicer">
              <sle:slicer xmlns:sle="http://schemas.microsoft.com/office/drawing/2010/slicer" name="clean payment_mode"/>
            </a:graphicData>
          </a:graphic>
        </xdr:graphicFrame>
      </mc:Choice>
      <mc:Fallback xmlns="">
        <xdr:sp macro="" textlink="">
          <xdr:nvSpPr>
            <xdr:cNvPr id="0" name=""/>
            <xdr:cNvSpPr>
              <a:spLocks noTextEdit="1"/>
            </xdr:cNvSpPr>
          </xdr:nvSpPr>
          <xdr:spPr>
            <a:xfrm>
              <a:off x="18922999" y="4456547"/>
              <a:ext cx="2576347" cy="33019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8</xdr:row>
      <xdr:rowOff>34636</xdr:rowOff>
    </xdr:from>
    <xdr:to>
      <xdr:col>7</xdr:col>
      <xdr:colOff>230908</xdr:colOff>
      <xdr:row>30</xdr:row>
      <xdr:rowOff>11545</xdr:rowOff>
    </xdr:to>
    <mc:AlternateContent xmlns:mc="http://schemas.openxmlformats.org/markup-compatibility/2006">
      <mc:Choice xmlns:cx4="http://schemas.microsoft.com/office/drawing/2016/5/10/chartex" Requires="cx4">
        <xdr:graphicFrame macro="">
          <xdr:nvGraphicFramePr>
            <xdr:cNvPr id="17" name="Chart 16">
              <a:extLst>
                <a:ext uri="{FF2B5EF4-FFF2-40B4-BE49-F238E27FC236}">
                  <a16:creationId xmlns:a16="http://schemas.microsoft.com/office/drawing/2014/main" id="{860233C5-6904-40B7-9957-C816A30CD4A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1497676"/>
              <a:ext cx="6365008" cy="400026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242454</xdr:colOff>
      <xdr:row>8</xdr:row>
      <xdr:rowOff>46181</xdr:rowOff>
    </xdr:from>
    <xdr:to>
      <xdr:col>16</xdr:col>
      <xdr:colOff>463537</xdr:colOff>
      <xdr:row>23</xdr:row>
      <xdr:rowOff>114274</xdr:rowOff>
    </xdr:to>
    <xdr:graphicFrame macro="">
      <xdr:nvGraphicFramePr>
        <xdr:cNvPr id="19" name="Chart 18">
          <a:extLst>
            <a:ext uri="{FF2B5EF4-FFF2-40B4-BE49-F238E27FC236}">
              <a16:creationId xmlns:a16="http://schemas.microsoft.com/office/drawing/2014/main" id="{3EE56666-BC9F-41FE-BFC2-3B78A8FFAA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484909</xdr:colOff>
      <xdr:row>8</xdr:row>
      <xdr:rowOff>0</xdr:rowOff>
    </xdr:from>
    <xdr:to>
      <xdr:col>24</xdr:col>
      <xdr:colOff>450273</xdr:colOff>
      <xdr:row>23</xdr:row>
      <xdr:rowOff>103909</xdr:rowOff>
    </xdr:to>
    <xdr:graphicFrame macro="">
      <xdr:nvGraphicFramePr>
        <xdr:cNvPr id="20" name="Chart 19">
          <a:extLst>
            <a:ext uri="{FF2B5EF4-FFF2-40B4-BE49-F238E27FC236}">
              <a16:creationId xmlns:a16="http://schemas.microsoft.com/office/drawing/2014/main" id="{A4591B2B-DE23-417A-ACB1-D325952444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30</xdr:row>
      <xdr:rowOff>0</xdr:rowOff>
    </xdr:from>
    <xdr:to>
      <xdr:col>12</xdr:col>
      <xdr:colOff>9407</xdr:colOff>
      <xdr:row>47</xdr:row>
      <xdr:rowOff>99391</xdr:rowOff>
    </xdr:to>
    <xdr:graphicFrame macro="">
      <xdr:nvGraphicFramePr>
        <xdr:cNvPr id="21" name="Chart 20">
          <a:extLst>
            <a:ext uri="{FF2B5EF4-FFF2-40B4-BE49-F238E27FC236}">
              <a16:creationId xmlns:a16="http://schemas.microsoft.com/office/drawing/2014/main" id="{A0976D30-B187-4BA8-B0FF-EA68A19743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46181</xdr:colOff>
      <xdr:row>23</xdr:row>
      <xdr:rowOff>127001</xdr:rowOff>
    </xdr:from>
    <xdr:to>
      <xdr:col>24</xdr:col>
      <xdr:colOff>438726</xdr:colOff>
      <xdr:row>47</xdr:row>
      <xdr:rowOff>99391</xdr:rowOff>
    </xdr:to>
    <xdr:graphicFrame macro="">
      <xdr:nvGraphicFramePr>
        <xdr:cNvPr id="22" name="Chart 21">
          <a:extLst>
            <a:ext uri="{FF2B5EF4-FFF2-40B4-BE49-F238E27FC236}">
              <a16:creationId xmlns:a16="http://schemas.microsoft.com/office/drawing/2014/main" id="{E43A4979-2576-41A3-8EF1-88FEDD8BBB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21</xdr:row>
      <xdr:rowOff>0</xdr:rowOff>
    </xdr:from>
    <xdr:to>
      <xdr:col>8</xdr:col>
      <xdr:colOff>375955</xdr:colOff>
      <xdr:row>33</xdr:row>
      <xdr:rowOff>22167</xdr:rowOff>
    </xdr:to>
    <xdr:graphicFrame macro="">
      <xdr:nvGraphicFramePr>
        <xdr:cNvPr id="3" name="Chart 2">
          <a:extLst>
            <a:ext uri="{FF2B5EF4-FFF2-40B4-BE49-F238E27FC236}">
              <a16:creationId xmlns:a16="http://schemas.microsoft.com/office/drawing/2014/main" id="{BA3AA762-8F4E-41DA-80B4-BAFE0F42BF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hit Patankar" refreshedDate="46253.08822662037" createdVersion="8" refreshedVersion="8" minRefreshableVersion="3" recordCount="100" xr:uid="{1113FBB2-8E90-4F2C-87DB-94C900BC5355}">
  <cacheSource type="worksheet">
    <worksheetSource name="Table1"/>
  </cacheSource>
  <cacheFields count="44">
    <cacheField name="Row ID" numFmtId="0">
      <sharedItems containsSemiMixedTypes="0" containsString="0" containsNumber="1" containsInteger="1" minValue="1" maxValue="100"/>
    </cacheField>
    <cacheField name="Order ID" numFmtId="0">
      <sharedItems/>
    </cacheField>
    <cacheField name="Order day" numFmtId="0">
      <sharedItems/>
    </cacheField>
    <cacheField name="Order month" numFmtId="0">
      <sharedItems count="12">
        <s v="Jan"/>
        <s v="Feb"/>
        <s v="Mar"/>
        <s v="Apr"/>
        <s v="May"/>
        <s v="Jun"/>
        <s v="Jul"/>
        <s v="Aug"/>
        <s v="Sep"/>
        <s v="Oct"/>
        <s v="Nov"/>
        <s v="Dec"/>
      </sharedItems>
    </cacheField>
    <cacheField name="Order Date" numFmtId="0">
      <sharedItems/>
    </cacheField>
    <cacheField name="Ship Date" numFmtId="14">
      <sharedItems/>
    </cacheField>
    <cacheField name="Ship Mode" numFmtId="0">
      <sharedItems/>
    </cacheField>
    <cacheField name="customer ID" numFmtId="0">
      <sharedItems/>
    </cacheField>
    <cacheField name="Column1" numFmtId="0">
      <sharedItems/>
    </cacheField>
    <cacheField name="Customer Name" numFmtId="0">
      <sharedItems/>
    </cacheField>
    <cacheField name="Segment" numFmtId="0">
      <sharedItems count="3">
        <s v="Consumer"/>
        <s v="Corporate"/>
        <s v="Home Office"/>
      </sharedItems>
    </cacheField>
    <cacheField name="City" numFmtId="0">
      <sharedItems/>
    </cacheField>
    <cacheField name="State" numFmtId="0">
      <sharedItems count="7">
        <s v="Gujarat"/>
        <s v="Telangana"/>
        <s v="Maharashtra"/>
        <s v="Tamil Nadu"/>
        <s v="Karnataka"/>
        <s v="West Bengal"/>
        <s v="Delhi"/>
      </sharedItems>
    </cacheField>
    <cacheField name="Country" numFmtId="0">
      <sharedItems/>
    </cacheField>
    <cacheField name="Postal Code" numFmtId="0">
      <sharedItems containsSemiMixedTypes="0" containsString="0" containsNumber="1" containsInteger="1" minValue="401543" maxValue="794541"/>
    </cacheField>
    <cacheField name="Market" numFmtId="0">
      <sharedItems/>
    </cacheField>
    <cacheField name="Region" numFmtId="0">
      <sharedItems count="5">
        <s v="Central"/>
        <s v="North"/>
        <s v="East"/>
        <s v="West"/>
        <s v="South"/>
      </sharedItems>
    </cacheField>
    <cacheField name="Product ID" numFmtId="0">
      <sharedItems/>
    </cacheField>
    <cacheField name="extract_cat" numFmtId="0">
      <sharedItems count="3">
        <s v="TEC"/>
        <s v="FUR"/>
        <s v="OFF"/>
      </sharedItems>
    </cacheField>
    <cacheField name="extract sub cat" numFmtId="0">
      <sharedItems/>
    </cacheField>
    <cacheField name="Category_Encoded" numFmtId="0">
      <sharedItems/>
    </cacheField>
    <cacheField name="Product Name" numFmtId="0">
      <sharedItems/>
    </cacheField>
    <cacheField name="Unit_Price" numFmtId="0">
      <sharedItems containsSemiMixedTypes="0" containsString="0" containsNumber="1" minValue="587.55999999999995" maxValue="48534.05"/>
    </cacheField>
    <cacheField name="Quantity" numFmtId="0">
      <sharedItems containsSemiMixedTypes="0" containsString="0" containsNumber="1" containsInteger="1" minValue="1" maxValue="11"/>
    </cacheField>
    <cacheField name="Discount_Percentage" numFmtId="0">
      <sharedItems containsSemiMixedTypes="0" containsString="0" containsNumber="1" containsInteger="1" minValue="0" maxValue="25"/>
    </cacheField>
    <cacheField name="Profit" numFmtId="0">
      <sharedItems containsSemiMixedTypes="0" containsString="0" containsNumber="1" minValue="-9.68" maxValue="39.86"/>
    </cacheField>
    <cacheField name="Shipping Cost" numFmtId="0">
      <sharedItems containsSemiMixedTypes="0" containsString="0" containsNumber="1" minValue="29.86" maxValue="41691.120000000003"/>
    </cacheField>
    <cacheField name="Order Priority" numFmtId="0">
      <sharedItems count="4">
        <s v="High"/>
        <s v="Low"/>
        <s v="Critical"/>
        <s v="Medium"/>
      </sharedItems>
    </cacheField>
    <cacheField name="Year" numFmtId="0">
      <sharedItems containsSemiMixedTypes="0" containsString="0" containsNumber="1" containsInteger="1" minValue="2025" maxValue="2025"/>
    </cacheField>
    <cacheField name="clean payment_mode" numFmtId="0">
      <sharedItems count="9">
        <s v="Net Banking"/>
        <s v="BNPL"/>
        <s v="UPI"/>
        <s v="Credit-Card"/>
        <s v="Debit Card"/>
        <s v="Cash/Cheque"/>
        <s v="Credit Card"/>
        <s v="Gift Cards"/>
        <s v="Mobile Wallets"/>
      </sharedItems>
    </cacheField>
    <cacheField name="Payment_Mode" numFmtId="0">
      <sharedItems count="11">
        <s v="Net Banking"/>
        <s v="BNPL"/>
        <s v="upi"/>
        <s v="Credit-Card"/>
        <s v="debit  card"/>
        <s v="Cash"/>
        <s v="Credit Card"/>
        <s v="Gift Cards"/>
        <s v="Debit Card"/>
        <s v="Cash/Cheque"/>
        <s v="Mobile Wallets"/>
      </sharedItems>
    </cacheField>
    <cacheField name="Total transaction count" numFmtId="0">
      <sharedItems containsSemiMixedTypes="0" containsString="0" containsNumber="1" containsInteger="1" minValue="1" maxValue="100"/>
    </cacheField>
    <cacheField name="average unit price" numFmtId="2">
      <sharedItems containsSemiMixedTypes="0" containsString="0" containsNumber="1" minValue="1092.3399999999999" maxValue="14024.935555555558"/>
    </cacheField>
    <cacheField name="total quantity sold" numFmtId="0">
      <sharedItems containsSemiMixedTypes="0" containsString="0" containsNumber="1" containsInteger="1" minValue="3" maxValue="618"/>
    </cacheField>
    <cacheField name="average profit margin" numFmtId="0">
      <sharedItems containsSemiMixedTypes="0" containsString="0" containsNumber="1" minValue="11.31" maxValue="25.585000000000001"/>
    </cacheField>
    <cacheField name="maximum shipping cost" numFmtId="0">
      <sharedItems containsSemiMixedTypes="0" containsString="0" containsNumber="1" minValue="81.290000000000006" maxValue="41691.120000000003"/>
    </cacheField>
    <cacheField name="minimum shipping cost" numFmtId="0">
      <sharedItems containsSemiMixedTypes="0" containsString="0" containsNumber="1" minValue="29.86" maxValue="81.290000000000006"/>
    </cacheField>
    <cacheField name="payment mode count" numFmtId="0">
      <sharedItems containsSemiMixedTypes="0" containsString="0" containsNumber="1" containsInteger="1" minValue="0" maxValue="8"/>
    </cacheField>
    <cacheField name="high value sales" numFmtId="0">
      <sharedItems containsSemiMixedTypes="0" containsString="0" containsNumber="1" containsInteger="1" minValue="0" maxValue="219"/>
    </cacheField>
    <cacheField name="gross revenue" numFmtId="0">
      <sharedItems containsSemiMixedTypes="0" containsString="0" containsNumber="1" minValue="1103.8699999999999" maxValue="533874.55000000005"/>
    </cacheField>
    <cacheField name="total discount amount" numFmtId="0">
      <sharedItems containsSemiMixedTypes="0" containsString="0" containsNumber="1" minValue="0" maxValue="133468.63750000001"/>
    </cacheField>
    <cacheField name="total net revenue" numFmtId="0">
      <sharedItems containsSemiMixedTypes="0" containsString="0" containsNumber="1" minValue="938.28949999999986" maxValue="400405.91250000003"/>
    </cacheField>
    <cacheField name="total order cost" numFmtId="0">
      <sharedItems containsSemiMixedTypes="0" containsString="0" containsNumber="1" minValue="970.3694999999999" maxValue="442097.03250000003"/>
    </cacheField>
    <cacheField name="order fulfillment duration" numFmtId="0">
      <sharedItems containsSemiMixedTypes="0" containsString="0" containsNumber="1" containsInteger="1" minValue="1" maxValue="6"/>
    </cacheField>
  </cacheFields>
  <extLst>
    <ext xmlns:x14="http://schemas.microsoft.com/office/spreadsheetml/2009/9/main" uri="{725AE2AE-9491-48be-B2B4-4EB974FC3084}">
      <x14:pivotCacheDefinition pivotCacheId="64684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n v="1"/>
    <s v="CA-2025-771155"/>
    <s v="Wednesday"/>
    <x v="0"/>
    <s v="01/01/2025"/>
    <s v="2025-01-07"/>
    <s v="Same Day"/>
    <s v="AB-40370"/>
    <s v="Arjun Jain"/>
    <s v="Arjun Jain"/>
    <x v="0"/>
    <s v="Chennai"/>
    <x v="0"/>
    <s v="India"/>
    <n v="619799"/>
    <s v="APAC"/>
    <x v="0"/>
    <s v="TEC-7316"/>
    <x v="0"/>
    <s v=":MON"/>
    <s v="TEC::MON"/>
    <s v="Office Chair"/>
    <n v="6790.64"/>
    <n v="11"/>
    <n v="5"/>
    <n v="1.22"/>
    <n v="3516.98"/>
    <x v="0"/>
    <n v="2025"/>
    <x v="0"/>
    <x v="0"/>
    <n v="100"/>
    <n v="11890.245599999998"/>
    <n v="618"/>
    <n v="16.891499999999997"/>
    <n v="41691.120000000003"/>
    <n v="29.86"/>
    <n v="8"/>
    <n v="219"/>
    <n v="74697.040000000008"/>
    <n v="3734.8520000000008"/>
    <n v="70962.188000000009"/>
    <n v="74479.168000000005"/>
    <n v="6"/>
  </r>
  <r>
    <n v="2"/>
    <s v="CA-2023-465838"/>
    <s v="Saturday"/>
    <x v="0"/>
    <s v="2025-01-04"/>
    <s v="2025-01-10"/>
    <s v="First Class"/>
    <s v="AB-65786"/>
    <s v="Aditya Mehta"/>
    <s v="Aditya Mehta"/>
    <x v="1"/>
    <s v="Hyderabad"/>
    <x v="1"/>
    <s v="India"/>
    <n v="461477"/>
    <s v="APAC"/>
    <x v="1"/>
    <s v="TEC-7469"/>
    <x v="1"/>
    <s v=":CH"/>
    <s v="FUR::CH"/>
    <s v="Desk Organizer"/>
    <n v="613.86"/>
    <n v="11"/>
    <n v="5"/>
    <n v="1.19"/>
    <n v="201.34"/>
    <x v="0"/>
    <n v="2025"/>
    <x v="1"/>
    <x v="1"/>
    <n v="99"/>
    <n v="11941.756767676767"/>
    <n v="607"/>
    <n v="17.04979797979798"/>
    <n v="41691.120000000003"/>
    <n v="29.86"/>
    <n v="8"/>
    <n v="219"/>
    <n v="6752.46"/>
    <n v="337.62300000000005"/>
    <n v="6414.8369999999995"/>
    <n v="6616.1769999999997"/>
    <n v="6"/>
  </r>
  <r>
    <n v="3"/>
    <s v="CA-2025-744167"/>
    <s v="Wednesday"/>
    <x v="0"/>
    <s v="2025-01-08"/>
    <s v="2025-01-14"/>
    <s v="Standard Class"/>
    <s v="AB-67814"/>
    <s v="Arjun Mehta"/>
    <s v="Arjun Mehta"/>
    <x v="1"/>
    <s v="Chennai"/>
    <x v="2"/>
    <s v="India"/>
    <n v="706956"/>
    <s v="APAC"/>
    <x v="0"/>
    <s v="TEC-9915"/>
    <x v="0"/>
    <s v=":MSW"/>
    <s v="TEC::MSW"/>
    <s v="Smart Phone"/>
    <n v="42579.67"/>
    <n v="2"/>
    <n v="25"/>
    <n v="16.850000000000001"/>
    <n v="5764.31"/>
    <x v="0"/>
    <n v="2025"/>
    <x v="2"/>
    <x v="2"/>
    <n v="98"/>
    <n v="12057.347551020406"/>
    <n v="596"/>
    <n v="17.211632653061223"/>
    <n v="41691.120000000003"/>
    <n v="29.86"/>
    <n v="8"/>
    <n v="219"/>
    <n v="85159.34"/>
    <n v="21289.834999999999"/>
    <n v="63869.504999999997"/>
    <n v="69633.815000000002"/>
    <n v="6"/>
  </r>
  <r>
    <n v="4"/>
    <s v="CA-2023-832180"/>
    <s v="Sunday"/>
    <x v="0"/>
    <s v="2025-01-12"/>
    <s v="2025-01-17"/>
    <s v="Second Class"/>
    <s v="AB-23131"/>
    <s v="Arjun Nair"/>
    <s v="Arjun Nair"/>
    <x v="1"/>
    <s v="Bengaluru"/>
    <x v="0"/>
    <s v="India"/>
    <n v="567281"/>
    <s v="APAC"/>
    <x v="2"/>
    <s v="TEC-1224"/>
    <x v="1"/>
    <s v=":CH"/>
    <s v="FUR::CH"/>
    <s v="Wireless Mouse"/>
    <n v="1241.25"/>
    <n v="9"/>
    <n v="10"/>
    <n v="19.649999999999999"/>
    <n v="688.38"/>
    <x v="1"/>
    <n v="2025"/>
    <x v="3"/>
    <x v="3"/>
    <n v="97"/>
    <n v="11742.684432989692"/>
    <n v="594"/>
    <n v="17.215360824742266"/>
    <n v="41691.120000000003"/>
    <n v="29.86"/>
    <n v="7"/>
    <n v="217"/>
    <n v="11171.25"/>
    <n v="1117.125"/>
    <n v="10054.125"/>
    <n v="10742.504999999999"/>
    <n v="5"/>
  </r>
  <r>
    <n v="5"/>
    <s v="CA-2025-237337"/>
    <s v="Wednesday"/>
    <x v="0"/>
    <s v="2025-01-15"/>
    <s v="2025-01-18"/>
    <s v="Same Day"/>
    <s v="AB-35485"/>
    <s v="Ishaan Gupta"/>
    <s v="Ishaan Gupta"/>
    <x v="0"/>
    <s v="Chennai"/>
    <x v="1"/>
    <s v="India"/>
    <n v="551223"/>
    <s v="APAC"/>
    <x v="3"/>
    <s v="TEC-5208"/>
    <x v="1"/>
    <s v=":CH"/>
    <s v="FUR::CH"/>
    <s v="Desk Organizer"/>
    <n v="587.55999999999995"/>
    <n v="10"/>
    <n v="20"/>
    <n v="19"/>
    <n v="195.34"/>
    <x v="1"/>
    <n v="2025"/>
    <x v="4"/>
    <x v="4"/>
    <n v="96"/>
    <n v="11852.074375000002"/>
    <n v="585"/>
    <n v="17.189999999999998"/>
    <n v="41691.120000000003"/>
    <n v="29.86"/>
    <n v="7"/>
    <n v="217"/>
    <n v="5875.5999999999995"/>
    <n v="1175.1199999999999"/>
    <n v="4700.4799999999996"/>
    <n v="4895.82"/>
    <n v="3"/>
  </r>
  <r>
    <n v="6"/>
    <s v="CA-2025-621430"/>
    <s v="Sunday"/>
    <x v="0"/>
    <s v="2025-01-19"/>
    <s v="2025-01-25"/>
    <s v="Standard Class"/>
    <s v="AB-52359"/>
    <s v="Rohan Mehta"/>
    <s v="Rohan Mehta"/>
    <x v="2"/>
    <s v="Delhi"/>
    <x v="3"/>
    <s v="India"/>
    <n v="471181"/>
    <s v="APAC"/>
    <x v="2"/>
    <s v="TEC-7283"/>
    <x v="1"/>
    <s v=":TBL"/>
    <s v="FUR::TBL"/>
    <s v="Desk Organizer"/>
    <n v="598.53"/>
    <n v="2"/>
    <n v="20"/>
    <n v="-5.43"/>
    <n v="29.86"/>
    <x v="2"/>
    <n v="2025"/>
    <x v="5"/>
    <x v="5"/>
    <n v="95"/>
    <n v="11970.648210526317"/>
    <n v="575"/>
    <n v="17.17094736842105"/>
    <n v="41691.120000000003"/>
    <n v="29.86"/>
    <n v="7"/>
    <n v="217"/>
    <n v="1197.06"/>
    <n v="239.41199999999998"/>
    <n v="957.64799999999991"/>
    <n v="987.50799999999992"/>
    <n v="6"/>
  </r>
  <r>
    <n v="7"/>
    <s v="CA-2025-187498"/>
    <s v="Thursday"/>
    <x v="0"/>
    <s v="2025-01-23"/>
    <s v="2025-01-26"/>
    <s v="First Class"/>
    <s v="AB-52933"/>
    <s v="Aarya Iyer"/>
    <s v="Aarya Iyer"/>
    <x v="0"/>
    <s v="Delhi"/>
    <x v="4"/>
    <s v="India"/>
    <n v="574359"/>
    <s v="APAC"/>
    <x v="4"/>
    <s v="TEC-3048"/>
    <x v="1"/>
    <s v=":TBL"/>
    <s v="FUR::TBL"/>
    <s v="Whiteboard"/>
    <n v="3391.95"/>
    <n v="5"/>
    <n v="5"/>
    <n v="33.869999999999997"/>
    <n v="1031.6600000000001"/>
    <x v="3"/>
    <n v="2025"/>
    <x v="6"/>
    <x v="6"/>
    <n v="94"/>
    <n v="12091.628191489363"/>
    <n v="573"/>
    <n v="17.411382978723402"/>
    <n v="41691.120000000003"/>
    <n v="32.08"/>
    <n v="7"/>
    <n v="217"/>
    <n v="16959.75"/>
    <n v="847.98749999999995"/>
    <n v="16111.762500000001"/>
    <n v="17143.422500000001"/>
    <n v="3"/>
  </r>
  <r>
    <n v="8"/>
    <s v="CA-2023-275203"/>
    <s v="Sunday"/>
    <x v="0"/>
    <s v="2025-01-26"/>
    <s v="2025-01-29"/>
    <s v="Standard Class"/>
    <s v="AB-62239"/>
    <s v="Aarya Sharma"/>
    <s v="Aarya Sharma"/>
    <x v="1"/>
    <s v="Ahmedabad"/>
    <x v="0"/>
    <s v="India"/>
    <n v="512857"/>
    <s v="APAC"/>
    <x v="1"/>
    <s v="TEC-7233"/>
    <x v="0"/>
    <s v=":MON"/>
    <s v="TEC::MON"/>
    <s v="Desk Organizer"/>
    <n v="608.21"/>
    <n v="9"/>
    <n v="10"/>
    <n v="3.28"/>
    <n v="324.44"/>
    <x v="1"/>
    <n v="2025"/>
    <x v="7"/>
    <x v="7"/>
    <n v="93"/>
    <n v="12185.17311827957"/>
    <n v="568"/>
    <n v="17.234408602150534"/>
    <n v="41691.120000000003"/>
    <n v="32.08"/>
    <n v="7"/>
    <n v="217"/>
    <n v="5473.89"/>
    <n v="547.38900000000001"/>
    <n v="4926.5010000000002"/>
    <n v="5250.9409999999998"/>
    <n v="3"/>
  </r>
  <r>
    <n v="9"/>
    <s v="CA-2025-429365"/>
    <s v="Thursday"/>
    <x v="0"/>
    <s v="2025-01-30"/>
    <s v="2025-02-01"/>
    <s v="First Class"/>
    <s v="AB-49313"/>
    <s v="Rahul Malhotra"/>
    <s v="Rahul Malhotra"/>
    <x v="0"/>
    <s v="Mumbai"/>
    <x v="5"/>
    <s v="India"/>
    <n v="730595"/>
    <s v="APAC"/>
    <x v="0"/>
    <s v="TEC-2828"/>
    <x v="0"/>
    <s v=":ph "/>
    <s v="TEC::ph "/>
    <s v="Desk Organizer"/>
    <n v="669.86"/>
    <n v="9"/>
    <n v="10"/>
    <n v="-3.52"/>
    <n v="219.42"/>
    <x v="3"/>
    <n v="2025"/>
    <x v="4"/>
    <x v="8"/>
    <n v="92"/>
    <n v="12311.009673913044"/>
    <n v="559"/>
    <n v="17.386086956521741"/>
    <n v="41691.120000000003"/>
    <n v="32.08"/>
    <n v="7"/>
    <n v="217"/>
    <n v="6028.74"/>
    <n v="602.87399999999991"/>
    <n v="5425.866"/>
    <n v="5645.2860000000001"/>
    <n v="2"/>
  </r>
  <r>
    <n v="10"/>
    <s v="CA-2023-887201"/>
    <s v="Monday"/>
    <x v="1"/>
    <s v="2025-02-03"/>
    <s v="2025-02-08"/>
    <s v="Second Class"/>
    <s v="AB-90234"/>
    <s v="Aarav Sharma"/>
    <s v="Aarav Sharma"/>
    <x v="0"/>
    <s v="Kolkata"/>
    <x v="1"/>
    <s v="India"/>
    <n v="586142"/>
    <s v="APAC"/>
    <x v="0"/>
    <s v="TEC-2917"/>
    <x v="1"/>
    <s v=":TBL"/>
    <s v="FUR::TBL"/>
    <s v="Laptop Stand"/>
    <n v="1421.45"/>
    <n v="8"/>
    <n v="25"/>
    <n v="34.44"/>
    <n v="876.2"/>
    <x v="2"/>
    <n v="2025"/>
    <x v="7"/>
    <x v="7"/>
    <n v="91"/>
    <n v="12438.934395604396"/>
    <n v="550"/>
    <n v="17.615824175824176"/>
    <n v="41691.120000000003"/>
    <n v="32.08"/>
    <n v="7"/>
    <n v="217"/>
    <n v="11371.6"/>
    <n v="2842.9"/>
    <n v="8528.7000000000007"/>
    <n v="9404.9000000000015"/>
    <n v="5"/>
  </r>
  <r>
    <n v="11"/>
    <s v="CA-2024-876997"/>
    <s v="Thursday"/>
    <x v="1"/>
    <s v="2025-02-06"/>
    <s v="2025-02-12"/>
    <s v="Same Day"/>
    <s v="AB-71644"/>
    <s v="Ayaan Verma"/>
    <s v="Ayaan Verma"/>
    <x v="2"/>
    <s v="Bengaluru"/>
    <x v="4"/>
    <s v="India"/>
    <n v="774033"/>
    <s v="APAC"/>
    <x v="1"/>
    <s v="TEC-5234"/>
    <x v="2"/>
    <s v=": bin"/>
    <s v="OFF:: bin"/>
    <s v="Wireless Mouse"/>
    <n v="1103.8699999999999"/>
    <n v="1"/>
    <n v="15"/>
    <n v="37.78"/>
    <n v="32.08"/>
    <x v="3"/>
    <n v="2025"/>
    <x v="2"/>
    <x v="2"/>
    <n v="90"/>
    <n v="12561.35088888889"/>
    <n v="542"/>
    <n v="17.428888888888892"/>
    <n v="41691.120000000003"/>
    <n v="32.08"/>
    <n v="7"/>
    <n v="217"/>
    <n v="1103.8699999999999"/>
    <n v="165.5805"/>
    <n v="938.28949999999986"/>
    <n v="970.3694999999999"/>
    <n v="6"/>
  </r>
  <r>
    <n v="12"/>
    <s v="CA-2024-891743"/>
    <s v="Monday"/>
    <x v="1"/>
    <s v="2025-02-10"/>
    <s v="2025-02-11"/>
    <s v="Same Day"/>
    <s v="AB-76055"/>
    <s v="Ayaan Patel"/>
    <s v="Ayaan Patel"/>
    <x v="2"/>
    <s v="Ahmedabad"/>
    <x v="2"/>
    <s v="India"/>
    <n v="510449"/>
    <s v="APAC"/>
    <x v="1"/>
    <s v="TEC-7988"/>
    <x v="0"/>
    <s v=":PHHH"/>
    <s v="TEC::PHHH"/>
    <s v="Smart Phone"/>
    <n v="42688.55"/>
    <n v="1"/>
    <n v="20"/>
    <n v="33.11"/>
    <n v="1961.12"/>
    <x v="1"/>
    <n v="2025"/>
    <x v="0"/>
    <x v="0"/>
    <n v="89"/>
    <n v="12690.086629213483"/>
    <n v="541"/>
    <n v="17.200224719101122"/>
    <n v="41691.120000000003"/>
    <n v="68.73"/>
    <n v="6"/>
    <n v="217"/>
    <n v="42688.55"/>
    <n v="8537.7099999999991"/>
    <n v="34150.840000000004"/>
    <n v="36111.960000000006"/>
    <n v="1"/>
  </r>
  <r>
    <n v="13"/>
    <s v="CA-2023-314176"/>
    <s v="Friday"/>
    <x v="1"/>
    <s v="2025-02-14"/>
    <s v="2025-02-18"/>
    <s v="Same Day"/>
    <s v="AB-38031"/>
    <s v="Vivaan Jain"/>
    <s v="Vivaan Jain"/>
    <x v="1"/>
    <s v="Bengaluru"/>
    <x v="2"/>
    <s v="India"/>
    <n v="414398"/>
    <s v="APAC"/>
    <x v="4"/>
    <s v="TEC-3026"/>
    <x v="2"/>
    <s v="BIN"/>
    <s v="OFF:BIN"/>
    <s v="LED Monitor"/>
    <n v="19322.39"/>
    <n v="9"/>
    <n v="25"/>
    <n v="30.48"/>
    <n v="13323.8"/>
    <x v="3"/>
    <n v="2025"/>
    <x v="6"/>
    <x v="6"/>
    <n v="88"/>
    <n v="12349.194999999996"/>
    <n v="540"/>
    <n v="17.019431818181818"/>
    <n v="41691.120000000003"/>
    <n v="68.73"/>
    <n v="6"/>
    <n v="216"/>
    <n v="173901.51"/>
    <n v="43475.377500000002"/>
    <n v="130426.13250000001"/>
    <n v="143749.9325"/>
    <n v="4"/>
  </r>
  <r>
    <n v="14"/>
    <s v="CA-2024-521909"/>
    <s v="Monday"/>
    <x v="1"/>
    <s v="2025-02-17"/>
    <s v="2025-02-18"/>
    <s v="Second Class"/>
    <s v="AB-33975"/>
    <s v="Aditya Verma"/>
    <s v="Aditya Verma"/>
    <x v="0"/>
    <s v="Mumbai"/>
    <x v="6"/>
    <s v="India"/>
    <n v="578032"/>
    <s v="APAC"/>
    <x v="2"/>
    <s v="TEC-4744"/>
    <x v="2"/>
    <s v=":ART"/>
    <s v="OFF::ART"/>
    <s v="Whiteboard"/>
    <n v="3427.65"/>
    <n v="11"/>
    <n v="0"/>
    <n v="22.76"/>
    <n v="1703.61"/>
    <x v="1"/>
    <n v="2025"/>
    <x v="5"/>
    <x v="9"/>
    <n v="87"/>
    <n v="12269.043333333331"/>
    <n v="531"/>
    <n v="16.864712643678164"/>
    <n v="41691.120000000003"/>
    <n v="68.73"/>
    <n v="6"/>
    <n v="207"/>
    <n v="37704.15"/>
    <n v="0"/>
    <n v="37704.15"/>
    <n v="39407.760000000002"/>
    <n v="1"/>
  </r>
  <r>
    <n v="15"/>
    <s v="CA-2023-358795"/>
    <s v="Friday"/>
    <x v="1"/>
    <s v="2025-02-21"/>
    <s v="26/02/2025"/>
    <s v="First Class"/>
    <s v="AB-43606"/>
    <s v="Saanvi Sharma"/>
    <s v="Saanvi Sharma"/>
    <x v="0"/>
    <s v="Pune"/>
    <x v="1"/>
    <s v="India"/>
    <n v="793945"/>
    <s v="APAC"/>
    <x v="0"/>
    <s v="TEC-1009"/>
    <x v="0"/>
    <s v=":MON"/>
    <s v="TEC::MON"/>
    <s v="Laptop Stand"/>
    <n v="1599.07"/>
    <n v="8"/>
    <n v="20"/>
    <n v="17.54"/>
    <n v="745.95"/>
    <x v="3"/>
    <n v="2025"/>
    <x v="4"/>
    <x v="8"/>
    <n v="86"/>
    <n v="12371.850232558136"/>
    <n v="520"/>
    <n v="16.796162790697675"/>
    <n v="41691.120000000003"/>
    <n v="68.73"/>
    <n v="6"/>
    <n v="207"/>
    <n v="12792.56"/>
    <n v="2558.5119999999997"/>
    <n v="10234.047999999999"/>
    <n v="10979.998"/>
    <n v="5"/>
  </r>
  <r>
    <n v="16"/>
    <s v="CA-2023-600186"/>
    <s v="Tuesday"/>
    <x v="1"/>
    <s v="2025-02-25"/>
    <s v="2025-03-01"/>
    <s v="Second Class"/>
    <s v="AB-92863"/>
    <s v="Saanvi Mehta"/>
    <s v="saanvi mehta"/>
    <x v="2"/>
    <s v="Chennai"/>
    <x v="3"/>
    <s v="India"/>
    <n v="519181"/>
    <s v="APAC"/>
    <x v="4"/>
    <s v="TEC-1260"/>
    <x v="2"/>
    <s v=":CAB"/>
    <s v="OFF::CAB"/>
    <s v="File Cabinet"/>
    <n v="11753.24"/>
    <n v="10"/>
    <n v="25"/>
    <n v="-5.65"/>
    <n v="5154.46"/>
    <x v="1"/>
    <n v="2025"/>
    <x v="6"/>
    <x v="6"/>
    <n v="85"/>
    <n v="12498.58882352941"/>
    <n v="512"/>
    <n v="16.787411764705883"/>
    <n v="41691.120000000003"/>
    <n v="68.73"/>
    <n v="6"/>
    <n v="207"/>
    <n v="117532.4"/>
    <n v="29383.1"/>
    <n v="88149.299999999988"/>
    <n v="93303.76"/>
    <n v="4"/>
  </r>
  <r>
    <n v="17"/>
    <s v="CA-2025-970910"/>
    <s v="Friday"/>
    <x v="1"/>
    <s v="2025-02-28"/>
    <s v="2025-03-05"/>
    <s v="Same Day"/>
    <s v="AB-77656"/>
    <s v="Rohan Patel"/>
    <s v="rohan patel"/>
    <x v="0"/>
    <s v="Chennai"/>
    <x v="6"/>
    <s v="India"/>
    <n v="466235"/>
    <s v="APAC"/>
    <x v="2"/>
    <s v="TEC-7038"/>
    <x v="2"/>
    <s v=":ART"/>
    <s v="OFF::ART"/>
    <s v="Wireless Mouse"/>
    <n v="1240.3399999999999"/>
    <n v="9"/>
    <n v="20"/>
    <n v="10.42"/>
    <n v="406.93"/>
    <x v="1"/>
    <n v="2025"/>
    <x v="5"/>
    <x v="9"/>
    <n v="84"/>
    <n v="12507.462023809521"/>
    <n v="502"/>
    <n v="17.054523809523811"/>
    <n v="41691.120000000003"/>
    <n v="68.73"/>
    <n v="6"/>
    <n v="197"/>
    <n v="11163.06"/>
    <n v="2232.6119999999996"/>
    <n v="8930.4480000000003"/>
    <n v="9337.3780000000006"/>
    <n v="5"/>
  </r>
  <r>
    <n v="18"/>
    <s v="CA-2024-249503"/>
    <s v="Tuesday"/>
    <x v="2"/>
    <s v="2025-03-04"/>
    <s v="2025-03-07"/>
    <s v="Second Class"/>
    <s v="AB-46410"/>
    <s v="Priya Mehta"/>
    <s v="priya mehta"/>
    <x v="0"/>
    <s v="Kolkata"/>
    <x v="6"/>
    <s v="India"/>
    <n v="439955"/>
    <s v="APAC"/>
    <x v="4"/>
    <s v="TEC-3219"/>
    <x v="2"/>
    <s v=":ART"/>
    <s v="OFF::ART"/>
    <s v="Smart Phone"/>
    <n v="42344.86"/>
    <n v="7"/>
    <n v="15"/>
    <n v="8.6300000000000008"/>
    <n v="23428.17"/>
    <x v="3"/>
    <n v="2025"/>
    <x v="0"/>
    <x v="0"/>
    <n v="83"/>
    <n v="12643.210481927708"/>
    <n v="493"/>
    <n v="17.134457831325303"/>
    <n v="41691.120000000003"/>
    <n v="68.73"/>
    <n v="6"/>
    <n v="197"/>
    <n v="296414.02"/>
    <n v="44462.10300000001"/>
    <n v="251951.91700000002"/>
    <n v="275380.087"/>
    <n v="3"/>
  </r>
  <r>
    <n v="19"/>
    <s v="CA-2025-165725"/>
    <s v="Saturday"/>
    <x v="2"/>
    <s v="2025-03-08"/>
    <s v="2025-03-12"/>
    <s v="Second Class"/>
    <s v="AB-32715"/>
    <s v="Aarya Verma"/>
    <s v="aarya verma"/>
    <x v="0"/>
    <s v="Mumbai"/>
    <x v="2"/>
    <s v="India"/>
    <n v="578353"/>
    <s v="APAC"/>
    <x v="0"/>
    <s v="TEC-8041"/>
    <x v="2"/>
    <s v=":CAB"/>
    <s v="OFF::CAB"/>
    <s v="Smart Phone"/>
    <n v="43138.33"/>
    <n v="3"/>
    <n v="0"/>
    <n v="2.99"/>
    <n v="5766.74"/>
    <x v="2"/>
    <n v="2025"/>
    <x v="7"/>
    <x v="7"/>
    <n v="82"/>
    <n v="12280.995243902435"/>
    <n v="486"/>
    <n v="17.238170731707321"/>
    <n v="41691.120000000003"/>
    <n v="68.73"/>
    <n v="6"/>
    <n v="190"/>
    <n v="129414.99"/>
    <n v="0"/>
    <n v="129414.99"/>
    <n v="135181.73000000001"/>
    <n v="4"/>
  </r>
  <r>
    <n v="20"/>
    <s v="CA-2024-184654"/>
    <s v="Tuesday"/>
    <x v="2"/>
    <s v="2025-03-11"/>
    <s v="2025-03-14"/>
    <s v="Second Class"/>
    <s v="AB-44635"/>
    <s v="Diya Gupta"/>
    <s v="Diya Gupta"/>
    <x v="2"/>
    <s v="Ahmedabad"/>
    <x v="0"/>
    <s v="India"/>
    <n v="479460"/>
    <s v="APAC"/>
    <x v="1"/>
    <s v="TEC-3060"/>
    <x v="0"/>
    <s v=":MSW"/>
    <s v="TEC::MSW"/>
    <s v="File Cabinet"/>
    <n v="12951.21"/>
    <n v="3"/>
    <n v="15"/>
    <n v="26.17"/>
    <n v="2861.41"/>
    <x v="0"/>
    <n v="2025"/>
    <x v="0"/>
    <x v="0"/>
    <n v="81"/>
    <n v="11900.040493827157"/>
    <n v="483"/>
    <n v="17.414074074074076"/>
    <n v="41691.120000000003"/>
    <n v="68.73"/>
    <n v="6"/>
    <n v="187"/>
    <n v="38853.629999999997"/>
    <n v="5828.0445"/>
    <n v="33025.585500000001"/>
    <n v="35886.995500000005"/>
    <n v="3"/>
  </r>
  <r>
    <n v="21"/>
    <s v="CA-2024-691723"/>
    <s v="Saturday"/>
    <x v="2"/>
    <s v="2025-03-15"/>
    <s v="2025-03-16"/>
    <s v="First Class"/>
    <s v="AB-30574"/>
    <s v="Reyansh Jain"/>
    <s v="Reyansh Jain"/>
    <x v="1"/>
    <s v="Kolkata"/>
    <x v="1"/>
    <s v="India"/>
    <n v="595005"/>
    <s v="APAC"/>
    <x v="1"/>
    <s v="TEC-6287"/>
    <x v="0"/>
    <s v=":MSW"/>
    <s v="TEC::MSW"/>
    <s v="LED Monitor"/>
    <n v="16698.11"/>
    <n v="2"/>
    <n v="0"/>
    <n v="14.79"/>
    <n v="1128.7"/>
    <x v="2"/>
    <n v="2025"/>
    <x v="8"/>
    <x v="10"/>
    <n v="80"/>
    <n v="11886.900874999996"/>
    <n v="480"/>
    <n v="17.304625000000005"/>
    <n v="41691.120000000003"/>
    <n v="68.73"/>
    <n v="6"/>
    <n v="184"/>
    <n v="33396.22"/>
    <n v="0"/>
    <n v="33396.22"/>
    <n v="34524.92"/>
    <n v="1"/>
  </r>
  <r>
    <n v="22"/>
    <s v="CA-2025-428947"/>
    <s v="Wednesday"/>
    <x v="2"/>
    <s v="2025-03-19"/>
    <s v="2025-03-20"/>
    <s v="Standard Class"/>
    <s v="AB-71657"/>
    <s v="Vivaan Jain"/>
    <s v="Vivaan Jain"/>
    <x v="1"/>
    <s v="Mumbai"/>
    <x v="6"/>
    <s v="India"/>
    <n v="600969"/>
    <s v="APAC"/>
    <x v="2"/>
    <s v="TEC-2619"/>
    <x v="0"/>
    <s v=":MON"/>
    <s v="TEC::MON"/>
    <s v="Desk Organizer"/>
    <n v="596.12"/>
    <n v="5"/>
    <n v="5"/>
    <n v="-5.95"/>
    <n v="97.72"/>
    <x v="3"/>
    <n v="2025"/>
    <x v="2"/>
    <x v="2"/>
    <n v="79"/>
    <n v="11825.999493670883"/>
    <n v="478"/>
    <n v="17.336455696202535"/>
    <n v="41691.120000000003"/>
    <n v="68.73"/>
    <n v="6"/>
    <n v="182"/>
    <n v="2980.6"/>
    <n v="149.03"/>
    <n v="2831.5699999999997"/>
    <n v="2929.2899999999995"/>
    <n v="1"/>
  </r>
  <r>
    <n v="23"/>
    <s v="CA-2023-373538"/>
    <s v="Saturday"/>
    <x v="2"/>
    <s v="2025-03-22"/>
    <s v="2025-03-26"/>
    <s v="Standard Class"/>
    <s v="AB-86554"/>
    <s v="Amit Verma"/>
    <s v="Amit Verma"/>
    <x v="0"/>
    <s v="Hyderabad"/>
    <x v="2"/>
    <s v="India"/>
    <n v="459164"/>
    <s v="APAC"/>
    <x v="3"/>
    <s v="TEC-9512"/>
    <x v="2"/>
    <s v=":ART"/>
    <s v="OFF::ART"/>
    <s v="Laptop Stand"/>
    <n v="1412.37"/>
    <n v="3"/>
    <n v="25"/>
    <n v="1.01"/>
    <n v="92.66"/>
    <x v="2"/>
    <n v="2025"/>
    <x v="8"/>
    <x v="10"/>
    <n v="78"/>
    <n v="11969.972307692304"/>
    <n v="473"/>
    <n v="17.635000000000002"/>
    <n v="41691.120000000003"/>
    <n v="68.73"/>
    <n v="5"/>
    <n v="182"/>
    <n v="4237.1099999999997"/>
    <n v="1059.2774999999999"/>
    <n v="3177.8324999999995"/>
    <n v="3270.4924999999994"/>
    <n v="4"/>
  </r>
  <r>
    <n v="24"/>
    <s v="CA-2023-628178"/>
    <s v="Wednesday"/>
    <x v="2"/>
    <s v="26/03/2025"/>
    <s v="2025-03-30"/>
    <s v="Second Class"/>
    <s v="AB-31747"/>
    <s v="Amit Gupta"/>
    <s v="Amit Gupta"/>
    <x v="1"/>
    <s v="Delhi"/>
    <x v="3"/>
    <s v="India"/>
    <n v="451935"/>
    <s v="APAC"/>
    <x v="2"/>
    <s v="TEC-2342"/>
    <x v="1"/>
    <s v=":CH"/>
    <s v="FUR::CH"/>
    <s v="Office Chair"/>
    <n v="6789.8"/>
    <n v="6"/>
    <n v="0"/>
    <n v="24.16"/>
    <n v="2407.66"/>
    <x v="1"/>
    <n v="2025"/>
    <x v="4"/>
    <x v="8"/>
    <n v="77"/>
    <n v="12107.084025974023"/>
    <n v="470"/>
    <n v="17.850909090909095"/>
    <n v="41691.120000000003"/>
    <n v="68.73"/>
    <n v="5"/>
    <n v="182"/>
    <n v="40738.800000000003"/>
    <n v="0"/>
    <n v="40738.800000000003"/>
    <n v="43146.460000000006"/>
    <n v="4"/>
  </r>
  <r>
    <n v="25"/>
    <s v="CA-2025-589492"/>
    <s v="Sunday"/>
    <x v="2"/>
    <s v="2025-03-30"/>
    <s v="2025-04-05"/>
    <s v="Standard Class"/>
    <s v="AB-40369"/>
    <s v="Vivaan Malhotra"/>
    <s v="Vivaan Malhotra"/>
    <x v="2"/>
    <s v="Kolkata"/>
    <x v="4"/>
    <s v="India"/>
    <n v="595968"/>
    <s v="APAC"/>
    <x v="3"/>
    <s v="TEC-3832"/>
    <x v="1"/>
    <s v=":TBL"/>
    <s v="FUR::TBL"/>
    <s v="Whiteboard"/>
    <n v="2996.12"/>
    <n v="2"/>
    <n v="15"/>
    <n v="-6.19"/>
    <n v="252.34"/>
    <x v="0"/>
    <n v="2025"/>
    <x v="6"/>
    <x v="6"/>
    <n v="76"/>
    <n v="12177.04828947368"/>
    <n v="464"/>
    <n v="17.767894736842106"/>
    <n v="41691.120000000003"/>
    <n v="68.73"/>
    <n v="5"/>
    <n v="182"/>
    <n v="5992.24"/>
    <n v="898.8359999999999"/>
    <n v="5093.4039999999995"/>
    <n v="5345.7439999999997"/>
    <n v="6"/>
  </r>
  <r>
    <n v="26"/>
    <s v="CA-2023-573254"/>
    <s v="Wednesday"/>
    <x v="3"/>
    <s v="2025-04-02"/>
    <s v="2025-04-07"/>
    <s v="Standard Class"/>
    <s v="AB-23858"/>
    <s v="Sai Sharma"/>
    <s v="Sai Sharma"/>
    <x v="2"/>
    <s v="Kolkata"/>
    <x v="5"/>
    <s v="India"/>
    <n v="716243"/>
    <s v="APAC"/>
    <x v="4"/>
    <s v="TEC-3824"/>
    <x v="0"/>
    <s v=":MON"/>
    <s v="TEC::MON"/>
    <s v="Office Chair"/>
    <n v="7624.56"/>
    <n v="3"/>
    <n v="20"/>
    <n v="32.56"/>
    <n v="1643.74"/>
    <x v="3"/>
    <n v="2025"/>
    <x v="4"/>
    <x v="8"/>
    <n v="75"/>
    <n v="12299.460666666662"/>
    <n v="462"/>
    <n v="18.087333333333333"/>
    <n v="41691.120000000003"/>
    <n v="68.73"/>
    <n v="5"/>
    <n v="182"/>
    <n v="22873.68"/>
    <n v="4574.7359999999999"/>
    <n v="18298.944"/>
    <n v="19942.684000000001"/>
    <n v="5"/>
  </r>
  <r>
    <n v="27"/>
    <s v="CA-2024-765987"/>
    <s v="Sunday"/>
    <x v="3"/>
    <s v="2025-04-06"/>
    <s v="2025-04-12"/>
    <s v="Second Class"/>
    <s v="AB-81741"/>
    <s v="Priya Patel"/>
    <s v="Priya Patel"/>
    <x v="1"/>
    <s v="Ahmedabad"/>
    <x v="5"/>
    <s v="India"/>
    <n v="405487"/>
    <s v="APAC"/>
    <x v="4"/>
    <s v="TEC-2994"/>
    <x v="2"/>
    <s v=":BIN"/>
    <s v="OFF::BIN"/>
    <s v="File Cabinet"/>
    <n v="11811.42"/>
    <n v="5"/>
    <n v="0"/>
    <n v="14.76"/>
    <n v="2857.93"/>
    <x v="3"/>
    <n v="2025"/>
    <x v="7"/>
    <x v="7"/>
    <n v="74"/>
    <n v="12362.634999999997"/>
    <n v="459"/>
    <n v="17.891756756756759"/>
    <n v="41691.120000000003"/>
    <n v="68.73"/>
    <n v="5"/>
    <n v="182"/>
    <n v="59057.1"/>
    <n v="0"/>
    <n v="59057.1"/>
    <n v="61915.03"/>
    <n v="6"/>
  </r>
  <r>
    <n v="28"/>
    <s v="CA-2023-339931"/>
    <s v="Thursday"/>
    <x v="3"/>
    <s v="2025-04-10"/>
    <s v="2025-04-15"/>
    <s v="Second Class"/>
    <s v="AB-27655"/>
    <s v="Ishaan Gupta"/>
    <s v="Ishaan Gupta"/>
    <x v="1"/>
    <s v="Bengaluru"/>
    <x v="1"/>
    <s v="India"/>
    <n v="539408"/>
    <s v="APAC"/>
    <x v="0"/>
    <s v="TEC-4490"/>
    <x v="2"/>
    <s v=":CAB"/>
    <s v="OFF::CAB"/>
    <s v="Smart Phone"/>
    <n v="48534.05"/>
    <n v="11"/>
    <n v="25"/>
    <n v="14.03"/>
    <n v="41691.120000000003"/>
    <x v="3"/>
    <n v="2025"/>
    <x v="5"/>
    <x v="9"/>
    <n v="73"/>
    <n v="12370.185890410956"/>
    <n v="454"/>
    <n v="17.934657534246579"/>
    <n v="41691.120000000003"/>
    <n v="68.73"/>
    <n v="5"/>
    <n v="177"/>
    <n v="533874.55000000005"/>
    <n v="133468.63750000001"/>
    <n v="400405.91250000003"/>
    <n v="442097.03250000003"/>
    <n v="5"/>
  </r>
  <r>
    <n v="29"/>
    <s v="CA-2024-305041"/>
    <s v="Sunday"/>
    <x v="3"/>
    <s v="2025-04-13"/>
    <s v="2025-04-19"/>
    <s v="Same Day"/>
    <s v="AB-62543"/>
    <s v="Rohan Mehta"/>
    <s v="Rohan Mehta"/>
    <x v="0"/>
    <s v="Hyderabad"/>
    <x v="6"/>
    <s v="India"/>
    <n v="749045"/>
    <s v="APAC"/>
    <x v="3"/>
    <s v="TEC-8984"/>
    <x v="2"/>
    <s v=":ART"/>
    <s v="OFF::ART"/>
    <s v="LED Monitor"/>
    <n v="19674.54"/>
    <n v="11"/>
    <n v="0"/>
    <n v="19.62"/>
    <n v="6737.48"/>
    <x v="0"/>
    <n v="2025"/>
    <x v="0"/>
    <x v="0"/>
    <n v="72"/>
    <n v="11867.909999999996"/>
    <n v="443"/>
    <n v="17.988888888888894"/>
    <n v="29145.23"/>
    <n v="68.73"/>
    <n v="5"/>
    <n v="166"/>
    <n v="216419.94"/>
    <n v="0"/>
    <n v="216419.94"/>
    <n v="223157.42"/>
    <n v="6"/>
  </r>
  <r>
    <n v="30"/>
    <s v="CA-2024-831912"/>
    <s v="Thursday"/>
    <x v="3"/>
    <s v="2025-04-17"/>
    <s v="2025-04-20"/>
    <s v="Standard Class"/>
    <s v="AB-48428"/>
    <s v="Vihaan Nair"/>
    <s v="Vihaan Nair"/>
    <x v="1"/>
    <s v="Ahmedabad"/>
    <x v="5"/>
    <s v="India"/>
    <n v="526021"/>
    <s v="APAC"/>
    <x v="0"/>
    <s v="TEC-2604"/>
    <x v="0"/>
    <s v=":MON"/>
    <s v="TEC::MON"/>
    <s v="Smart Phone"/>
    <n v="43576.36"/>
    <n v="1"/>
    <n v="10"/>
    <n v="31.23"/>
    <n v="3142.61"/>
    <x v="1"/>
    <n v="2025"/>
    <x v="8"/>
    <x v="10"/>
    <n v="71"/>
    <n v="11757.957464788728"/>
    <n v="432"/>
    <n v="17.965915492957752"/>
    <n v="29145.23"/>
    <n v="68.73"/>
    <n v="5"/>
    <n v="155"/>
    <n v="43576.36"/>
    <n v="4357.6359999999995"/>
    <n v="39218.724000000002"/>
    <n v="42361.334000000003"/>
    <n v="3"/>
  </r>
  <r>
    <n v="31"/>
    <s v="CA-2024-168148"/>
    <s v="Monday"/>
    <x v="3"/>
    <s v="2025-04-21"/>
    <s v="2025-04-25"/>
    <s v="First Class"/>
    <s v="AB-62653"/>
    <s v="Rohan Nair"/>
    <s v="Rohan Nair"/>
    <x v="0"/>
    <s v="Mumbai"/>
    <x v="0"/>
    <s v="India"/>
    <n v="502796"/>
    <s v="APAC"/>
    <x v="1"/>
    <s v="TEC-1235"/>
    <x v="0"/>
    <s v=":PH"/>
    <s v="TEC::PH"/>
    <s v="Whiteboard"/>
    <n v="3046.03"/>
    <n v="1"/>
    <n v="20"/>
    <n v="7.39"/>
    <n v="202.85"/>
    <x v="3"/>
    <n v="2025"/>
    <x v="1"/>
    <x v="1"/>
    <n v="70"/>
    <n v="11303.408857142853"/>
    <n v="431"/>
    <n v="17.776428571428575"/>
    <n v="29145.23"/>
    <n v="68.73"/>
    <n v="5"/>
    <n v="154"/>
    <n v="3046.03"/>
    <n v="609.20600000000002"/>
    <n v="2436.8240000000001"/>
    <n v="2639.674"/>
    <n v="4"/>
  </r>
  <r>
    <n v="32"/>
    <s v="CA-2024-748531"/>
    <s v="Thursday"/>
    <x v="3"/>
    <s v="2025-04-24"/>
    <s v="2025-04-25"/>
    <s v="Second Class"/>
    <s v="AB-62751"/>
    <s v="Rohan Malhotra"/>
    <s v="Rohan Malhotra"/>
    <x v="0"/>
    <s v="Mumbai"/>
    <x v="5"/>
    <s v="India"/>
    <n v="620185"/>
    <s v="APAC"/>
    <x v="3"/>
    <s v="TEC-2908"/>
    <x v="0"/>
    <s v=":PH"/>
    <s v="TEC::PH"/>
    <s v="Smart Phone"/>
    <n v="43917.23"/>
    <n v="10"/>
    <n v="25"/>
    <n v="23.9"/>
    <n v="29097.5"/>
    <x v="2"/>
    <n v="2025"/>
    <x v="8"/>
    <x v="10"/>
    <n v="69"/>
    <n v="11423.081014492749"/>
    <n v="430"/>
    <n v="17.926956521739129"/>
    <n v="29145.23"/>
    <n v="68.73"/>
    <n v="5"/>
    <n v="154"/>
    <n v="439172.30000000005"/>
    <n v="109793.07500000001"/>
    <n v="329379.22500000003"/>
    <n v="358476.72500000003"/>
    <n v="1"/>
  </r>
  <r>
    <n v="33"/>
    <s v="CA-2025-778843"/>
    <s v="Monday"/>
    <x v="3"/>
    <s v="2025-04-28"/>
    <s v="2025-05-03"/>
    <s v="Same Day"/>
    <s v="AB-78881"/>
    <s v="Arjun Verma"/>
    <s v="Arjun Verma"/>
    <x v="2"/>
    <s v="Mumbai"/>
    <x v="5"/>
    <s v="India"/>
    <n v="542203"/>
    <s v="APAC"/>
    <x v="2"/>
    <s v="TEC-9567"/>
    <x v="0"/>
    <s v=":MSW"/>
    <s v="TEC::MSW"/>
    <s v="Smart Phone"/>
    <n v="45812.65"/>
    <n v="9"/>
    <n v="25"/>
    <n v="18.29"/>
    <n v="29145.23"/>
    <x v="3"/>
    <n v="2025"/>
    <x v="7"/>
    <x v="7"/>
    <n v="68"/>
    <n v="10945.225882352939"/>
    <n v="420"/>
    <n v="17.839117647058824"/>
    <n v="29145.23"/>
    <n v="68.73"/>
    <n v="5"/>
    <n v="144"/>
    <n v="412313.85000000003"/>
    <n v="103078.46249999999"/>
    <n v="309235.38750000007"/>
    <n v="338380.61750000005"/>
    <n v="5"/>
  </r>
  <r>
    <n v="34"/>
    <s v="CA-2025-672843"/>
    <s v="Friday"/>
    <x v="4"/>
    <s v="2025-05-02"/>
    <s v="2025-05-07"/>
    <s v="First Class"/>
    <s v="AB-29102"/>
    <s v="Sai Mehta"/>
    <s v="Sai Mehta"/>
    <x v="2"/>
    <s v="Pune"/>
    <x v="5"/>
    <s v="India"/>
    <n v="749653"/>
    <s v="APAC"/>
    <x v="1"/>
    <s v="TEC-4530"/>
    <x v="2"/>
    <s v=":CAB"/>
    <s v="OFF::CAB"/>
    <s v="Whiteboard"/>
    <n v="3051.56"/>
    <n v="7"/>
    <n v="5"/>
    <n v="3.35"/>
    <n v="1402.59"/>
    <x v="3"/>
    <n v="2025"/>
    <x v="8"/>
    <x v="10"/>
    <n v="67"/>
    <n v="10424.816567164178"/>
    <n v="411"/>
    <n v="17.832388059701493"/>
    <n v="19990.61"/>
    <n v="68.73"/>
    <n v="5"/>
    <n v="135"/>
    <n v="21360.92"/>
    <n v="1068.0459999999998"/>
    <n v="20292.874"/>
    <n v="21695.464"/>
    <n v="5"/>
  </r>
  <r>
    <n v="35"/>
    <s v="CA-2023-903591"/>
    <s v="Tuesday"/>
    <x v="4"/>
    <s v="2025-05-06"/>
    <s v="2025-05-07"/>
    <s v="Standard Class"/>
    <s v="AB-51445"/>
    <s v="Vivaan Gupta"/>
    <s v="Vivaan Gupta"/>
    <x v="2"/>
    <s v="Mumbai"/>
    <x v="2"/>
    <s v="India"/>
    <n v="637028"/>
    <s v="APAC"/>
    <x v="1"/>
    <s v="TEC-6256"/>
    <x v="1"/>
    <s v=":TBL"/>
    <s v="FUR::TBL"/>
    <s v="Laptop Stand"/>
    <n v="1537.24"/>
    <n v="1"/>
    <n v="15"/>
    <n v="33.93"/>
    <n v="88.5"/>
    <x v="3"/>
    <n v="2025"/>
    <x v="7"/>
    <x v="7"/>
    <n v="66"/>
    <n v="10536.532575757576"/>
    <n v="404"/>
    <n v="18.051818181818184"/>
    <n v="19990.61"/>
    <n v="68.73"/>
    <n v="5"/>
    <n v="135"/>
    <n v="1537.24"/>
    <n v="230.58599999999998"/>
    <n v="1306.654"/>
    <n v="1395.154"/>
    <n v="1"/>
  </r>
  <r>
    <n v="36"/>
    <s v="CA-2025-206530"/>
    <s v="Friday"/>
    <x v="4"/>
    <s v="2025-05-09"/>
    <s v="15/05/2025"/>
    <s v="Same Day"/>
    <s v="AB-34519"/>
    <s v="Priya Iyer"/>
    <s v="Priya Iyer"/>
    <x v="2"/>
    <s v="Bengaluru"/>
    <x v="2"/>
    <s v="India"/>
    <n v="518325"/>
    <s v="APAC"/>
    <x v="2"/>
    <s v="TEC-3635"/>
    <x v="1"/>
    <s v=":CH"/>
    <s v="FUR::CH"/>
    <s v="Laptop Stand"/>
    <n v="1472.82"/>
    <n v="8"/>
    <n v="5"/>
    <n v="29.87"/>
    <n v="328.44"/>
    <x v="3"/>
    <n v="2025"/>
    <x v="1"/>
    <x v="1"/>
    <n v="65"/>
    <n v="10674.983230769229"/>
    <n v="403"/>
    <n v="17.80753846153846"/>
    <n v="19990.61"/>
    <n v="68.73"/>
    <n v="5"/>
    <n v="135"/>
    <n v="11782.56"/>
    <n v="589.12799999999993"/>
    <n v="11193.431999999999"/>
    <n v="11521.871999999999"/>
    <n v="6"/>
  </r>
  <r>
    <n v="37"/>
    <s v="CA-2024-922352"/>
    <s v="Tuesday"/>
    <x v="4"/>
    <s v="2025-05-13"/>
    <s v="2025-05-18"/>
    <s v="Second Class"/>
    <s v="AB-17129"/>
    <s v="Neha Jain"/>
    <s v="Neha Jain"/>
    <x v="1"/>
    <s v="Hyderabad"/>
    <x v="6"/>
    <s v="India"/>
    <n v="722711"/>
    <s v="APAC"/>
    <x v="1"/>
    <s v="TEC-9162"/>
    <x v="1"/>
    <s v=":TBL"/>
    <s v="FUR::TBL"/>
    <s v="Whiteboard"/>
    <n v="3233.31"/>
    <n v="3"/>
    <n v="25"/>
    <n v="22.92"/>
    <n v="212.93"/>
    <x v="1"/>
    <n v="2025"/>
    <x v="4"/>
    <x v="8"/>
    <n v="64"/>
    <n v="10818.767031249999"/>
    <n v="395"/>
    <n v="17.619062499999995"/>
    <n v="19990.61"/>
    <n v="68.73"/>
    <n v="5"/>
    <n v="135"/>
    <n v="9699.93"/>
    <n v="2424.9825000000001"/>
    <n v="7274.9475000000002"/>
    <n v="7487.8775000000005"/>
    <n v="5"/>
  </r>
  <r>
    <n v="38"/>
    <s v="CA-2024-824839"/>
    <s v="Saturday"/>
    <x v="4"/>
    <s v="2025-05-17"/>
    <s v="2025-05-20"/>
    <s v="First Class"/>
    <s v="AB-88874"/>
    <s v="Neha Reddy"/>
    <s v="Neha Reddy"/>
    <x v="2"/>
    <s v="Chennai"/>
    <x v="0"/>
    <s v="India"/>
    <n v="597776"/>
    <s v="APAC"/>
    <x v="3"/>
    <s v="TEC-3560"/>
    <x v="1"/>
    <s v=":TBL"/>
    <s v="FUR::TBL"/>
    <s v="LED Monitor"/>
    <n v="18263.669999999998"/>
    <n v="8"/>
    <n v="20"/>
    <n v="32.53"/>
    <n v="10994.86"/>
    <x v="2"/>
    <n v="2025"/>
    <x v="0"/>
    <x v="0"/>
    <n v="63"/>
    <n v="10939.171111111111"/>
    <n v="392"/>
    <n v="17.534920634920628"/>
    <n v="19990.61"/>
    <n v="68.73"/>
    <n v="5"/>
    <n v="135"/>
    <n v="146109.35999999999"/>
    <n v="29221.871999999996"/>
    <n v="116887.48799999998"/>
    <n v="127882.34799999998"/>
    <n v="3"/>
  </r>
  <r>
    <n v="39"/>
    <s v="CA-2024-559773"/>
    <s v="Tuesday"/>
    <x v="4"/>
    <s v="2025-05-20"/>
    <s v="2025-05-24"/>
    <s v="Second Class"/>
    <s v="AB-20990"/>
    <s v="Vihaan Reddy"/>
    <s v="Vihaan Reddy"/>
    <x v="1"/>
    <s v="Delhi"/>
    <x v="6"/>
    <s v="India"/>
    <n v="689337"/>
    <s v="APAC"/>
    <x v="0"/>
    <s v="TEC-6415"/>
    <x v="1"/>
    <s v=":TBL"/>
    <s v="FUR::TBL"/>
    <s v="File Cabinet"/>
    <n v="11506.72"/>
    <n v="5"/>
    <n v="0"/>
    <n v="33.36"/>
    <n v="3279.36"/>
    <x v="1"/>
    <n v="2025"/>
    <x v="6"/>
    <x v="6"/>
    <n v="62"/>
    <n v="10821.034032258065"/>
    <n v="384"/>
    <n v="17.293064516129022"/>
    <n v="19990.61"/>
    <n v="68.73"/>
    <n v="5"/>
    <n v="127"/>
    <n v="57533.599999999999"/>
    <n v="0"/>
    <n v="57533.599999999999"/>
    <n v="60812.959999999999"/>
    <n v="4"/>
  </r>
  <r>
    <n v="40"/>
    <s v="CA-2024-864469"/>
    <s v="Saturday"/>
    <x v="4"/>
    <s v="2025-05-24"/>
    <s v="2025-05-25"/>
    <s v="Standard Class"/>
    <s v="AB-21038"/>
    <s v="Vihaan Reddy"/>
    <s v="Vihaan Reddy"/>
    <x v="2"/>
    <s v="Bengaluru"/>
    <x v="2"/>
    <s v="India"/>
    <n v="663207"/>
    <s v="APAC"/>
    <x v="1"/>
    <s v="TEC-4391"/>
    <x v="2"/>
    <s v=":CAB"/>
    <s v="OFF::CAB"/>
    <s v="Wireless Mouse"/>
    <n v="1307.6300000000001"/>
    <n v="1"/>
    <n v="0"/>
    <n v="25.42"/>
    <n v="88.65"/>
    <x v="2"/>
    <n v="2025"/>
    <x v="5"/>
    <x v="9"/>
    <n v="61"/>
    <n v="10809.793278688523"/>
    <n v="379"/>
    <n v="17.029672131147532"/>
    <n v="19990.61"/>
    <n v="68.73"/>
    <n v="5"/>
    <n v="122"/>
    <n v="1307.6300000000001"/>
    <n v="0"/>
    <n v="1307.6300000000001"/>
    <n v="1396.2800000000002"/>
    <n v="1"/>
  </r>
  <r>
    <n v="41"/>
    <s v="CA-2024-415139"/>
    <s v="Wednesday"/>
    <x v="4"/>
    <s v="2025-05-28"/>
    <s v="2025-06-01"/>
    <s v="First Class"/>
    <s v="AB-31462"/>
    <s v="Aditya Gupta"/>
    <s v="Aditya Gupta"/>
    <x v="1"/>
    <s v="Bengaluru"/>
    <x v="1"/>
    <s v="India"/>
    <n v="484077"/>
    <s v="APAC"/>
    <x v="3"/>
    <s v="TEC-6951"/>
    <x v="1"/>
    <s v=":TBL"/>
    <s v="FUR::TBL"/>
    <s v="Smart Phone"/>
    <n v="47372.45"/>
    <n v="7"/>
    <n v="20"/>
    <n v="31.85"/>
    <n v="16212.72"/>
    <x v="3"/>
    <n v="2025"/>
    <x v="6"/>
    <x v="6"/>
    <n v="60"/>
    <n v="10968.162666666665"/>
    <n v="378"/>
    <n v="16.889833333333328"/>
    <n v="19990.61"/>
    <n v="68.73"/>
    <n v="5"/>
    <n v="122"/>
    <n v="331607.14999999997"/>
    <n v="66321.429999999993"/>
    <n v="265285.71999999997"/>
    <n v="281498.43999999994"/>
    <n v="4"/>
  </r>
  <r>
    <n v="42"/>
    <s v="CA-2024-371836"/>
    <s v="Saturday"/>
    <x v="4"/>
    <s v="2025-05-31"/>
    <s v="2025-06-05"/>
    <s v="Standard Class"/>
    <s v="AB-33974"/>
    <s v="Amit Nair"/>
    <s v="Amit Nair"/>
    <x v="0"/>
    <s v="Pune"/>
    <x v="1"/>
    <s v="India"/>
    <n v="489781"/>
    <s v="APAC"/>
    <x v="4"/>
    <s v="TEC-6468"/>
    <x v="2"/>
    <s v=":BIN"/>
    <s v="OFF::BIN"/>
    <s v="LED Monitor"/>
    <n v="17168.419999999998"/>
    <n v="5"/>
    <n v="25"/>
    <n v="24.87"/>
    <n v="2321.04"/>
    <x v="0"/>
    <n v="2025"/>
    <x v="4"/>
    <x v="8"/>
    <n v="59"/>
    <n v="10351.140847457626"/>
    <n v="371"/>
    <n v="16.63627118644067"/>
    <n v="19990.61"/>
    <n v="68.73"/>
    <n v="5"/>
    <n v="115"/>
    <n v="85842.099999999991"/>
    <n v="21460.525000000001"/>
    <n v="64381.57499999999"/>
    <n v="66702.614999999991"/>
    <n v="5"/>
  </r>
  <r>
    <n v="43"/>
    <s v="CA-2025-302283"/>
    <s v="Wednesday"/>
    <x v="5"/>
    <s v="2025-06-04"/>
    <s v="2025-06-09"/>
    <s v="Standard Class"/>
    <s v="AB-76218"/>
    <s v="Rahul Gupta"/>
    <s v="Rahul Gupta"/>
    <x v="1"/>
    <s v="Chennai"/>
    <x v="1"/>
    <s v="India"/>
    <n v="552618"/>
    <s v="APAC"/>
    <x v="3"/>
    <s v="TEC-9007"/>
    <x v="2"/>
    <s v=":CAB"/>
    <s v="OFF::CAB"/>
    <s v="Smart Phone"/>
    <n v="48316.21"/>
    <n v="6"/>
    <n v="0"/>
    <n v="24.01"/>
    <n v="7975.41"/>
    <x v="1"/>
    <n v="2025"/>
    <x v="5"/>
    <x v="9"/>
    <n v="58"/>
    <n v="10233.601551724136"/>
    <n v="366"/>
    <n v="16.494310344827579"/>
    <n v="19990.61"/>
    <n v="68.73"/>
    <n v="5"/>
    <n v="110"/>
    <n v="289897.26"/>
    <n v="0"/>
    <n v="289897.26"/>
    <n v="297872.67"/>
    <n v="5"/>
  </r>
  <r>
    <n v="44"/>
    <s v="CA-2024-661353"/>
    <s v="Sunday"/>
    <x v="5"/>
    <s v="2025-06-08"/>
    <s v="2025-06-09"/>
    <s v="Same Day"/>
    <s v="AB-39718"/>
    <s v="Arjun Verma"/>
    <s v="Arjun Verma"/>
    <x v="1"/>
    <s v="Chennai"/>
    <x v="3"/>
    <s v="India"/>
    <n v="421690"/>
    <s v="APAC"/>
    <x v="0"/>
    <s v="TEC-7413"/>
    <x v="2"/>
    <s v=":BIN"/>
    <s v="OFF::BIN"/>
    <s v="Wireless Mouse"/>
    <n v="1196.98"/>
    <n v="6"/>
    <n v="0"/>
    <n v="20.93"/>
    <n v="439.06"/>
    <x v="0"/>
    <n v="2025"/>
    <x v="8"/>
    <x v="10"/>
    <n v="57"/>
    <n v="9565.4856140350894"/>
    <n v="360"/>
    <n v="16.362456140350869"/>
    <n v="19990.61"/>
    <n v="68.73"/>
    <n v="5"/>
    <n v="104"/>
    <n v="7181.88"/>
    <n v="0"/>
    <n v="7181.88"/>
    <n v="7620.9400000000005"/>
    <n v="1"/>
  </r>
  <r>
    <n v="45"/>
    <s v="CA-2024-723587"/>
    <s v="Wednesday"/>
    <x v="5"/>
    <s v="2025-06-11"/>
    <s v="2025-06-14"/>
    <s v="Second Class"/>
    <s v="AB-19352"/>
    <s v="Ishaan Jain"/>
    <s v="Ishaan Jain"/>
    <x v="2"/>
    <s v="Delhi"/>
    <x v="5"/>
    <s v="India"/>
    <n v="673319"/>
    <s v="APAC"/>
    <x v="3"/>
    <s v="TEC-7941"/>
    <x v="2"/>
    <s v=":CAB"/>
    <s v="OFF::CAB"/>
    <s v="File Cabinet"/>
    <n v="12946.93"/>
    <n v="8"/>
    <n v="0"/>
    <n v="27.64"/>
    <n v="4745.66"/>
    <x v="1"/>
    <n v="2025"/>
    <x v="1"/>
    <x v="1"/>
    <n v="56"/>
    <n v="9714.9232142857163"/>
    <n v="354"/>
    <n v="16.280892857142849"/>
    <n v="19990.61"/>
    <n v="68.73"/>
    <n v="5"/>
    <n v="104"/>
    <n v="103575.44"/>
    <n v="0"/>
    <n v="103575.44"/>
    <n v="108321.1"/>
    <n v="3"/>
  </r>
  <r>
    <n v="46"/>
    <s v="CA-2024-635822"/>
    <s v="Sunday"/>
    <x v="5"/>
    <s v="2025-06-15"/>
    <s v="17/06/2025"/>
    <s v="First Class"/>
    <s v="AB-56442"/>
    <s v="Sai Sharma"/>
    <s v="Sai Sharma"/>
    <x v="1"/>
    <s v="Delhi"/>
    <x v="3"/>
    <s v="India"/>
    <n v="750606"/>
    <s v="APAC"/>
    <x v="2"/>
    <s v="TEC-5820"/>
    <x v="0"/>
    <s v=":MSW"/>
    <s v="TEC::MSW"/>
    <s v="Laptop Stand"/>
    <n v="1589.96"/>
    <n v="9"/>
    <n v="15"/>
    <n v="-2.0699999999999998"/>
    <n v="458.36"/>
    <x v="3"/>
    <n v="2025"/>
    <x v="1"/>
    <x v="1"/>
    <n v="55"/>
    <n v="9656.1594545454554"/>
    <n v="346"/>
    <n v="16.074363636363628"/>
    <n v="19990.61"/>
    <n v="68.73"/>
    <n v="5"/>
    <n v="96"/>
    <n v="14309.64"/>
    <n v="2146.4459999999999"/>
    <n v="12163.194"/>
    <n v="12621.554"/>
    <n v="2"/>
  </r>
  <r>
    <n v="47"/>
    <s v="CA-2024-882038"/>
    <s v="Thursday"/>
    <x v="5"/>
    <s v="2025-06-19"/>
    <s v="2025-06-20"/>
    <s v="Standard Class"/>
    <s v="AB-71544"/>
    <s v="Arjun Iyer"/>
    <s v="Arjun Iyer"/>
    <x v="0"/>
    <s v="Chennai"/>
    <x v="2"/>
    <s v="India"/>
    <n v="788319"/>
    <s v="APAC"/>
    <x v="0"/>
    <s v="TEC-3898"/>
    <x v="0"/>
    <s v=":MON"/>
    <s v="TEC::MON"/>
    <s v="LED Monitor"/>
    <n v="18223.29"/>
    <n v="2"/>
    <n v="15"/>
    <n v="34.04"/>
    <n v="1803.95"/>
    <x v="1"/>
    <n v="2025"/>
    <x v="2"/>
    <x v="2"/>
    <n v="54"/>
    <n v="9805.5335185185177"/>
    <n v="337"/>
    <n v="16.410370370370362"/>
    <n v="19990.61"/>
    <n v="68.73"/>
    <n v="5"/>
    <n v="96"/>
    <n v="36446.58"/>
    <n v="5466.987000000001"/>
    <n v="30979.593000000001"/>
    <n v="32783.542999999998"/>
    <n v="1"/>
  </r>
  <r>
    <n v="48"/>
    <s v="CA-2023-679879"/>
    <s v="Sunday"/>
    <x v="5"/>
    <s v="2025-06-22"/>
    <s v="2025-06-24"/>
    <s v="Standard Class"/>
    <s v="AB-94680"/>
    <s v="Saanvi Nair"/>
    <s v="Saanvi Nair"/>
    <x v="0"/>
    <s v="Mumbai"/>
    <x v="1"/>
    <s v="India"/>
    <n v="765178"/>
    <s v="APAC"/>
    <x v="4"/>
    <s v="TEC-8546"/>
    <x v="0"/>
    <s v=":PH"/>
    <s v="TEC::PH"/>
    <s v="Desk Organizer"/>
    <n v="587.91999999999996"/>
    <n v="9"/>
    <n v="10"/>
    <n v="33.590000000000003"/>
    <n v="126.21"/>
    <x v="3"/>
    <n v="2025"/>
    <x v="4"/>
    <x v="8"/>
    <n v="53"/>
    <n v="9646.7079245283039"/>
    <n v="335"/>
    <n v="16.077735849056594"/>
    <n v="19990.61"/>
    <n v="68.73"/>
    <n v="4"/>
    <n v="94"/>
    <n v="5291.28"/>
    <n v="529.12799999999993"/>
    <n v="4762.152"/>
    <n v="4888.3620000000001"/>
    <n v="2"/>
  </r>
  <r>
    <n v="49"/>
    <s v="CA-2023-123247"/>
    <s v="Thursday"/>
    <x v="5"/>
    <s v="2025-06-26"/>
    <s v="2025-07-02"/>
    <s v="First Class"/>
    <s v="AB-41936"/>
    <s v="Aarya Verma"/>
    <s v="aarya verma"/>
    <x v="2"/>
    <s v="Bengaluru"/>
    <x v="2"/>
    <s v="India"/>
    <n v="409349"/>
    <s v="APAC"/>
    <x v="2"/>
    <s v="TEC-1077"/>
    <x v="1"/>
    <s v=":TBL"/>
    <s v="FUR::TBL"/>
    <s v="Desk Organizer"/>
    <n v="619.92999999999995"/>
    <n v="11"/>
    <n v="5"/>
    <n v="-8.5399999999999991"/>
    <n v="374.5"/>
    <x v="1"/>
    <n v="2025"/>
    <x v="4"/>
    <x v="8"/>
    <n v="52"/>
    <n v="9820.9153846153858"/>
    <n v="326"/>
    <n v="15.740961538461532"/>
    <n v="19990.61"/>
    <n v="68.73"/>
    <n v="4"/>
    <n v="94"/>
    <n v="6819.23"/>
    <n v="340.96149999999994"/>
    <n v="6478.2684999999992"/>
    <n v="6852.7684999999992"/>
    <n v="6"/>
  </r>
  <r>
    <n v="50"/>
    <s v="CA-2023-567281"/>
    <s v="Monday"/>
    <x v="5"/>
    <s v="2025-06-30"/>
    <s v="2025-07-02"/>
    <s v="Standard Class"/>
    <s v="AB-43322"/>
    <s v="Rohan Nair"/>
    <s v="Rohan Nair"/>
    <x v="0"/>
    <s v="Ahmedabad"/>
    <x v="0"/>
    <s v="India"/>
    <n v="438103"/>
    <s v="APAC"/>
    <x v="3"/>
    <s v="TEC-8577"/>
    <x v="0"/>
    <s v=":MSW"/>
    <s v="TEC::MSW"/>
    <s v="Wireless Mouse"/>
    <n v="1209.99"/>
    <n v="10"/>
    <n v="20"/>
    <n v="31.29"/>
    <n v="437.29"/>
    <x v="3"/>
    <n v="2025"/>
    <x v="0"/>
    <x v="0"/>
    <n v="51"/>
    <n v="10001.326862745098"/>
    <n v="315"/>
    <n v="16.217058823529403"/>
    <n v="19990.61"/>
    <n v="68.73"/>
    <n v="4"/>
    <n v="94"/>
    <n v="12099.9"/>
    <n v="2419.98"/>
    <n v="9679.92"/>
    <n v="10117.210000000001"/>
    <n v="2"/>
  </r>
  <r>
    <n v="51"/>
    <s v="CA-2025-633556"/>
    <s v="Thursday"/>
    <x v="6"/>
    <s v="2025-07-03"/>
    <s v="2025-07-06"/>
    <s v="Same Day"/>
    <s v="AB-37370"/>
    <s v="Ananya Iyer"/>
    <s v="Ananya Iyer"/>
    <x v="1"/>
    <s v="Delhi"/>
    <x v="6"/>
    <s v="India"/>
    <n v="474461"/>
    <s v="APAC"/>
    <x v="0"/>
    <s v="TEC-5227"/>
    <x v="0"/>
    <s v=":MON"/>
    <s v="TEC::MON"/>
    <s v="Desk Organizer"/>
    <n v="667.35"/>
    <n v="9"/>
    <n v="20"/>
    <n v="-3.56"/>
    <n v="407.54"/>
    <x v="3"/>
    <n v="2025"/>
    <x v="6"/>
    <x v="6"/>
    <n v="50"/>
    <n v="10177.153600000001"/>
    <n v="305"/>
    <n v="15.915599999999992"/>
    <n v="19990.61"/>
    <n v="68.73"/>
    <n v="4"/>
    <n v="94"/>
    <n v="6006.1500000000005"/>
    <n v="1201.2300000000002"/>
    <n v="4804.92"/>
    <n v="5212.46"/>
    <n v="3"/>
  </r>
  <r>
    <n v="52"/>
    <s v="CA-2024-819064"/>
    <s v="Monday"/>
    <x v="6"/>
    <s v="2025-07-07"/>
    <s v="13/07/2025"/>
    <s v="Same Day"/>
    <s v="AB-14850"/>
    <s v="Priya Iyer"/>
    <s v="Priya Iyer"/>
    <x v="0"/>
    <s v="Pune"/>
    <x v="5"/>
    <s v="India"/>
    <n v="764779"/>
    <s v="APAC"/>
    <x v="4"/>
    <s v="TEC-1600"/>
    <x v="0"/>
    <s v=":PH"/>
    <s v="TEC::PH"/>
    <s v="Laptop Stand"/>
    <n v="1427.37"/>
    <n v="10"/>
    <n v="20"/>
    <n v="6.76"/>
    <n v="551.27"/>
    <x v="2"/>
    <n v="2025"/>
    <x v="4"/>
    <x v="8"/>
    <n v="49"/>
    <n v="10371.231224489797"/>
    <n v="296"/>
    <n v="16.313061224489786"/>
    <n v="19990.61"/>
    <n v="68.73"/>
    <n v="4"/>
    <n v="94"/>
    <n v="14273.699999999999"/>
    <n v="2854.74"/>
    <n v="11418.96"/>
    <n v="11970.23"/>
    <n v="6"/>
  </r>
  <r>
    <n v="53"/>
    <s v="CA-2023-336584"/>
    <s v="Friday"/>
    <x v="6"/>
    <s v="2025-07-11"/>
    <s v="2025-07-13"/>
    <s v="Same Day"/>
    <s v="AB-30174"/>
    <s v="Priya Reddy"/>
    <s v="Priya Reddy"/>
    <x v="2"/>
    <s v="Pune"/>
    <x v="4"/>
    <s v="India"/>
    <n v="489931"/>
    <s v="APAC"/>
    <x v="2"/>
    <s v="TEC-2065"/>
    <x v="2"/>
    <s v=":ART"/>
    <s v="OFF::ART"/>
    <s v="Wireless Mouse"/>
    <n v="1113.45"/>
    <n v="10"/>
    <n v="10"/>
    <n v="27.18"/>
    <n v="526.80999999999995"/>
    <x v="3"/>
    <n v="2025"/>
    <x v="4"/>
    <x v="8"/>
    <n v="48"/>
    <n v="10557.561666666668"/>
    <n v="286"/>
    <n v="16.512083333333326"/>
    <n v="19990.61"/>
    <n v="68.73"/>
    <n v="4"/>
    <n v="94"/>
    <n v="11134.5"/>
    <n v="1113.45"/>
    <n v="10021.049999999999"/>
    <n v="10547.859999999999"/>
    <n v="2"/>
  </r>
  <r>
    <n v="54"/>
    <s v="CA-2023-937646"/>
    <s v="Monday"/>
    <x v="6"/>
    <s v="2025-07-14"/>
    <s v="2025-07-20"/>
    <s v="Same Day"/>
    <s v="AB-57620"/>
    <s v="Diya Sharma"/>
    <s v="Diya Sharma"/>
    <x v="1"/>
    <s v="Delhi"/>
    <x v="0"/>
    <s v="India"/>
    <n v="406802"/>
    <s v="APAC"/>
    <x v="4"/>
    <s v="TEC-3136"/>
    <x v="1"/>
    <s v=":CH"/>
    <s v="FUR::CH"/>
    <s v="Laptop Stand"/>
    <n v="1600.48"/>
    <n v="7"/>
    <n v="15"/>
    <n v="-1.96"/>
    <n v="231.88"/>
    <x v="2"/>
    <n v="2025"/>
    <x v="8"/>
    <x v="10"/>
    <n v="47"/>
    <n v="10758.500212765957"/>
    <n v="276"/>
    <n v="16.285106382978718"/>
    <n v="19990.61"/>
    <n v="68.73"/>
    <n v="4"/>
    <n v="94"/>
    <n v="11203.36"/>
    <n v="1680.5040000000001"/>
    <n v="9522.8559999999998"/>
    <n v="9754.735999999999"/>
    <n v="6"/>
  </r>
  <r>
    <n v="55"/>
    <s v="CA-2023-476896"/>
    <s v="Friday"/>
    <x v="6"/>
    <s v="2025-07-18"/>
    <s v="2025-07-20"/>
    <s v="Standard Class"/>
    <s v="AB-48103"/>
    <s v="Vihaan Sharma"/>
    <s v="Vihaan Sharma"/>
    <x v="2"/>
    <s v="Chennai"/>
    <x v="5"/>
    <s v="India"/>
    <n v="503151"/>
    <s v="APAC"/>
    <x v="3"/>
    <s v="TEC-7943"/>
    <x v="2"/>
    <s v=":BIN"/>
    <s v="OFF::BIN"/>
    <s v="File Cabinet"/>
    <n v="13162.57"/>
    <n v="1"/>
    <n v="25"/>
    <n v="30.9"/>
    <n v="320.47000000000003"/>
    <x v="3"/>
    <n v="2025"/>
    <x v="8"/>
    <x v="10"/>
    <n v="46"/>
    <n v="10957.587608695652"/>
    <n v="269"/>
    <n v="16.681739130434778"/>
    <n v="19990.61"/>
    <n v="68.73"/>
    <n v="4"/>
    <n v="94"/>
    <n v="13162.57"/>
    <n v="3290.6424999999999"/>
    <n v="9871.9274999999998"/>
    <n v="10192.397499999999"/>
    <n v="2"/>
  </r>
  <r>
    <n v="56"/>
    <s v="CA-2023-402918"/>
    <s v="Tuesday"/>
    <x v="6"/>
    <s v="2025-07-22"/>
    <s v="25/07/2025"/>
    <s v="First Class"/>
    <s v="AB-88767"/>
    <s v="Ayaan Sharma"/>
    <s v="Ayaan Sharma"/>
    <x v="1"/>
    <s v="Hyderabad"/>
    <x v="3"/>
    <s v="India"/>
    <n v="603340"/>
    <s v="APAC"/>
    <x v="4"/>
    <s v="TEC-8804"/>
    <x v="2"/>
    <s v=":ART"/>
    <s v="OFF::ART"/>
    <s v="Smart Phone"/>
    <n v="45231.21"/>
    <n v="7"/>
    <n v="25"/>
    <n v="31.61"/>
    <n v="13788.61"/>
    <x v="0"/>
    <n v="2025"/>
    <x v="5"/>
    <x v="9"/>
    <n v="45"/>
    <n v="10908.588000000002"/>
    <n v="268"/>
    <n v="16.365777777777772"/>
    <n v="19990.61"/>
    <n v="68.73"/>
    <n v="4"/>
    <n v="93"/>
    <n v="316618.46999999997"/>
    <n v="79154.617499999993"/>
    <n v="237463.85249999998"/>
    <n v="251252.46249999997"/>
    <n v="3"/>
  </r>
  <r>
    <n v="57"/>
    <s v="CA-2023-220151"/>
    <s v="Friday"/>
    <x v="6"/>
    <s v="2025-07-25"/>
    <s v="2025-07-27"/>
    <s v="First Class"/>
    <s v="AB-65299"/>
    <s v="Aditya Malhotra"/>
    <s v="Aditya Malhotra"/>
    <x v="0"/>
    <s v="Ahmedabad"/>
    <x v="3"/>
    <s v="India"/>
    <n v="579209"/>
    <s v="APAC"/>
    <x v="1"/>
    <s v="TEC-7565"/>
    <x v="2"/>
    <s v=":CAB"/>
    <s v="OFF::CAB"/>
    <s v="File Cabinet"/>
    <n v="11212.03"/>
    <n v="10"/>
    <n v="10"/>
    <n v="15.37"/>
    <n v="5471.06"/>
    <x v="3"/>
    <n v="2025"/>
    <x v="7"/>
    <x v="7"/>
    <n v="44"/>
    <n v="10128.52840909091"/>
    <n v="261"/>
    <n v="16.019318181818178"/>
    <n v="19990.61"/>
    <n v="68.73"/>
    <n v="4"/>
    <n v="86"/>
    <n v="112120.3"/>
    <n v="11212.03"/>
    <n v="100908.27"/>
    <n v="106379.33"/>
    <n v="2"/>
  </r>
  <r>
    <n v="58"/>
    <s v="CA-2023-233767"/>
    <s v="Tuesday"/>
    <x v="6"/>
    <s v="2025-07-29"/>
    <s v="2025-07-31"/>
    <s v="First Class"/>
    <s v="AB-67058"/>
    <s v="Priya Reddy"/>
    <s v="Priya Reddy"/>
    <x v="2"/>
    <s v="Ahmedabad"/>
    <x v="0"/>
    <s v="India"/>
    <n v="554698"/>
    <s v="APAC"/>
    <x v="2"/>
    <s v="TEC-6984"/>
    <x v="0"/>
    <s v=":PH"/>
    <s v="TEC::PH"/>
    <s v="File Cabinet"/>
    <n v="11453.54"/>
    <n v="5"/>
    <n v="25"/>
    <n v="-9.68"/>
    <n v="3207.06"/>
    <x v="0"/>
    <n v="2025"/>
    <x v="7"/>
    <x v="7"/>
    <n v="43"/>
    <n v="10103.330697674419"/>
    <n v="251"/>
    <n v="16.034418604651162"/>
    <n v="19990.61"/>
    <n v="68.73"/>
    <n v="4"/>
    <n v="76"/>
    <n v="57267.700000000004"/>
    <n v="14316.924999999999"/>
    <n v="42950.775000000009"/>
    <n v="46157.835000000006"/>
    <n v="2"/>
  </r>
  <r>
    <n v="59"/>
    <s v="CA-2025-236330"/>
    <s v="Saturday"/>
    <x v="7"/>
    <s v="2025-08-02"/>
    <s v="2025-08-04"/>
    <s v="First Class"/>
    <s v="AB-45562"/>
    <s v="Aarya Nair"/>
    <s v="Aarya Nair"/>
    <x v="2"/>
    <s v="Delhi"/>
    <x v="3"/>
    <s v="India"/>
    <n v="613946"/>
    <s v="APAC"/>
    <x v="4"/>
    <s v="TEC-6142"/>
    <x v="2"/>
    <s v=":ART"/>
    <s v="OFF::ART"/>
    <s v="Laptop Stand"/>
    <n v="1355.52"/>
    <n v="6"/>
    <n v="20"/>
    <n v="4.3499999999999996"/>
    <n v="304.99"/>
    <x v="0"/>
    <n v="2025"/>
    <x v="2"/>
    <x v="2"/>
    <n v="42"/>
    <n v="10071.182857142858"/>
    <n v="246"/>
    <n v="16.646666666666665"/>
    <n v="19990.61"/>
    <n v="68.73"/>
    <n v="4"/>
    <n v="71"/>
    <n v="8133.12"/>
    <n v="1626.624"/>
    <n v="6506.4960000000001"/>
    <n v="6811.4859999999999"/>
    <n v="2"/>
  </r>
  <r>
    <n v="60"/>
    <s v="CA-2025-401648"/>
    <s v="Tuesday"/>
    <x v="7"/>
    <s v="2025-08-05"/>
    <s v="2025-08-06"/>
    <s v="Second Class"/>
    <s v="AB-92859"/>
    <s v="Aarya Reddy"/>
    <s v="Aarya Reddy"/>
    <x v="1"/>
    <s v="Mumbai"/>
    <x v="1"/>
    <s v="India"/>
    <n v="631916"/>
    <s v="APAC"/>
    <x v="3"/>
    <s v="TEC-5670"/>
    <x v="1"/>
    <s v=":CH"/>
    <s v="FUR::CH"/>
    <s v="Wireless Mouse"/>
    <n v="1299.43"/>
    <n v="10"/>
    <n v="5"/>
    <n v="20.85"/>
    <n v="801.73"/>
    <x v="3"/>
    <n v="2025"/>
    <x v="7"/>
    <x v="7"/>
    <n v="41"/>
    <n v="10283.76"/>
    <n v="240"/>
    <n v="16.946585365853654"/>
    <n v="19990.61"/>
    <n v="68.73"/>
    <n v="3"/>
    <n v="71"/>
    <n v="12994.300000000001"/>
    <n v="649.71500000000003"/>
    <n v="12344.585000000001"/>
    <n v="13146.315000000001"/>
    <n v="1"/>
  </r>
  <r>
    <n v="61"/>
    <s v="CA-2025-686146"/>
    <s v="Saturday"/>
    <x v="7"/>
    <s v="2025-08-09"/>
    <s v="2025-08-10"/>
    <s v="First Class"/>
    <s v="AB-37547"/>
    <s v="Vivaan Nair"/>
    <s v="Vivaan Nair"/>
    <x v="2"/>
    <s v="Hyderabad"/>
    <x v="2"/>
    <s v="India"/>
    <n v="603665"/>
    <s v="APAC"/>
    <x v="3"/>
    <s v="TEC-3190"/>
    <x v="0"/>
    <s v=":MSW"/>
    <s v="TEC::MSW"/>
    <s v="Wireless Mouse"/>
    <n v="1108.26"/>
    <n v="7"/>
    <n v="0"/>
    <n v="39.06"/>
    <n v="555.52"/>
    <x v="0"/>
    <n v="2025"/>
    <x v="0"/>
    <x v="0"/>
    <n v="40"/>
    <n v="10508.368250000001"/>
    <n v="230"/>
    <n v="16.848999999999997"/>
    <n v="19990.61"/>
    <n v="68.73"/>
    <n v="3"/>
    <n v="71"/>
    <n v="7757.82"/>
    <n v="0"/>
    <n v="7757.82"/>
    <n v="8313.34"/>
    <n v="1"/>
  </r>
  <r>
    <n v="62"/>
    <s v="CA-2023-112666"/>
    <s v="Wednesday"/>
    <x v="7"/>
    <s v="2025-08-13"/>
    <s v="2025-08-14"/>
    <s v="Second Class"/>
    <s v="AB-44364"/>
    <s v="Aarya Reddy"/>
    <s v="Aarya Reddy"/>
    <x v="1"/>
    <s v="Ahmedabad"/>
    <x v="6"/>
    <s v="India"/>
    <n v="608125"/>
    <s v="APAC"/>
    <x v="4"/>
    <s v="TEC-3712"/>
    <x v="0"/>
    <s v=":PH"/>
    <s v="TEC::PH"/>
    <s v="Desk Organizer"/>
    <n v="659.95"/>
    <n v="5"/>
    <n v="15"/>
    <n v="21.59"/>
    <n v="220.39"/>
    <x v="2"/>
    <n v="2025"/>
    <x v="2"/>
    <x v="2"/>
    <n v="39"/>
    <n v="10749.396666666667"/>
    <n v="223"/>
    <n v="16.27948717948718"/>
    <n v="19990.61"/>
    <n v="68.73"/>
    <n v="3"/>
    <n v="71"/>
    <n v="3299.75"/>
    <n v="494.96249999999998"/>
    <n v="2804.7874999999999"/>
    <n v="3025.1774999999998"/>
    <n v="1"/>
  </r>
  <r>
    <n v="63"/>
    <s v="CA-2023-234633"/>
    <s v="Saturday"/>
    <x v="7"/>
    <s v="2025-08-16"/>
    <s v="2025-08-19"/>
    <s v="Second Class"/>
    <s v="AB-55460"/>
    <s v="Rahul Patel"/>
    <s v="Rahul Patel"/>
    <x v="1"/>
    <s v="Delhi"/>
    <x v="2"/>
    <s v="India"/>
    <n v="401543"/>
    <s v="APAC"/>
    <x v="3"/>
    <s v="TEC-3192"/>
    <x v="2"/>
    <s v=":ART"/>
    <s v="OFF::ART"/>
    <s v="Office Chair"/>
    <n v="7161.08"/>
    <n v="7"/>
    <n v="15"/>
    <n v="2.99"/>
    <n v="1121.71"/>
    <x v="1"/>
    <n v="2025"/>
    <x v="5"/>
    <x v="9"/>
    <n v="38"/>
    <n v="11014.908421052634"/>
    <n v="218"/>
    <n v="16.139736842105261"/>
    <n v="19990.61"/>
    <n v="68.73"/>
    <n v="2"/>
    <n v="71"/>
    <n v="50127.56"/>
    <n v="7519.1339999999991"/>
    <n v="42608.425999999999"/>
    <n v="43730.135999999999"/>
    <n v="3"/>
  </r>
  <r>
    <n v="64"/>
    <s v="CA-2025-950937"/>
    <s v="Wednesday"/>
    <x v="7"/>
    <s v="2025-08-20"/>
    <s v="2025-08-26"/>
    <s v="Same Day"/>
    <s v="AB-15728"/>
    <s v="Aditya Patel"/>
    <s v="Aditya Patel"/>
    <x v="1"/>
    <s v="Pune"/>
    <x v="5"/>
    <s v="India"/>
    <n v="683822"/>
    <s v="APAC"/>
    <x v="0"/>
    <s v="TEC-2248"/>
    <x v="2"/>
    <s v=":BIN"/>
    <s v="OFF::BIN"/>
    <s v="Smart Phone"/>
    <n v="45487.6"/>
    <n v="9"/>
    <n v="10"/>
    <n v="21.7"/>
    <n v="19990.61"/>
    <x v="3"/>
    <n v="2025"/>
    <x v="8"/>
    <x v="10"/>
    <n v="37"/>
    <n v="11119.065945945948"/>
    <n v="211"/>
    <n v="16.495135135135136"/>
    <n v="19990.61"/>
    <n v="68.73"/>
    <n v="2"/>
    <n v="71"/>
    <n v="409388.39999999997"/>
    <n v="40938.839999999997"/>
    <n v="368449.55999999994"/>
    <n v="388440.16999999993"/>
    <n v="6"/>
  </r>
  <r>
    <n v="65"/>
    <s v="CA-2023-807611"/>
    <s v="Sunday"/>
    <x v="7"/>
    <s v="2025-08-24"/>
    <s v="2025-08-29"/>
    <s v="Second Class"/>
    <s v="AB-66193"/>
    <s v="Aarya Verma"/>
    <s v="aarya verma"/>
    <x v="1"/>
    <s v="Ahmedabad"/>
    <x v="6"/>
    <s v="India"/>
    <n v="577805"/>
    <s v="APAC"/>
    <x v="0"/>
    <s v="TEC-5033"/>
    <x v="2"/>
    <s v=":BIN"/>
    <s v="OFF::BIN"/>
    <s v="Laptop Stand"/>
    <n v="1545.43"/>
    <n v="3"/>
    <n v="15"/>
    <n v="17"/>
    <n v="121.92"/>
    <x v="0"/>
    <n v="2025"/>
    <x v="7"/>
    <x v="7"/>
    <n v="36"/>
    <n v="10164.384444444446"/>
    <n v="202"/>
    <n v="16.350555555555555"/>
    <n v="17206.18"/>
    <n v="68.73"/>
    <n v="2"/>
    <n v="62"/>
    <n v="4636.29"/>
    <n v="695.44350000000009"/>
    <n v="3940.8464999999997"/>
    <n v="4062.7664999999997"/>
    <n v="5"/>
  </r>
  <r>
    <n v="66"/>
    <s v="CA-2025-894824"/>
    <s v="Wednesday"/>
    <x v="7"/>
    <s v="2025-08-27"/>
    <s v="2025-08-29"/>
    <s v="Standard Class"/>
    <s v="AB-59422"/>
    <s v="Sai Gupta"/>
    <s v="Sai Gupta"/>
    <x v="0"/>
    <s v="Kolkata"/>
    <x v="2"/>
    <s v="India"/>
    <n v="581416"/>
    <s v="APAC"/>
    <x v="0"/>
    <s v="TEC-2997"/>
    <x v="0"/>
    <s v=":MON"/>
    <s v="TEC::MON"/>
    <s v="Desk Organizer"/>
    <n v="692.87"/>
    <n v="8"/>
    <n v="20"/>
    <n v="28.99"/>
    <n v="191.36"/>
    <x v="3"/>
    <n v="2025"/>
    <x v="6"/>
    <x v="6"/>
    <n v="35"/>
    <n v="10410.640285714288"/>
    <n v="199"/>
    <n v="16.332000000000001"/>
    <n v="17206.18"/>
    <n v="68.73"/>
    <n v="2"/>
    <n v="62"/>
    <n v="5542.96"/>
    <n v="1108.5919999999999"/>
    <n v="4434.3680000000004"/>
    <n v="4625.7280000000001"/>
    <n v="2"/>
  </r>
  <r>
    <n v="67"/>
    <s v="CA-2024-938688"/>
    <s v="Sunday"/>
    <x v="7"/>
    <s v="2025-08-31"/>
    <s v="2025-09-02"/>
    <s v="Second Class"/>
    <s v="AB-80355"/>
    <s v="Rahul Iyer"/>
    <s v="Rahul Iyer"/>
    <x v="1"/>
    <s v="Hyderabad"/>
    <x v="6"/>
    <s v="India"/>
    <n v="439082"/>
    <s v="APAC"/>
    <x v="1"/>
    <s v="TEC-4687"/>
    <x v="2"/>
    <s v=":ART"/>
    <s v="OFF::ART"/>
    <s v="LED Monitor"/>
    <n v="17413.759999999998"/>
    <n v="2"/>
    <n v="25"/>
    <n v="-4.6500000000000004"/>
    <n v="2758.33"/>
    <x v="2"/>
    <n v="2025"/>
    <x v="8"/>
    <x v="10"/>
    <n v="34"/>
    <n v="10696.457058823531"/>
    <n v="191"/>
    <n v="15.959705882352941"/>
    <n v="17206.18"/>
    <n v="68.73"/>
    <n v="2"/>
    <n v="62"/>
    <n v="34827.519999999997"/>
    <n v="8706.8799999999992"/>
    <n v="26120.639999999999"/>
    <n v="28878.97"/>
    <n v="2"/>
  </r>
  <r>
    <n v="68"/>
    <s v="CA-2025-921654"/>
    <s v="Thursday"/>
    <x v="8"/>
    <s v="2025-09-04"/>
    <s v="2025-09-07"/>
    <s v="Same Day"/>
    <s v="AB-61005"/>
    <s v="Arjun Nair"/>
    <s v="Arjun Nair"/>
    <x v="2"/>
    <s v="Hyderabad"/>
    <x v="2"/>
    <s v="India"/>
    <n v="593929"/>
    <s v="APAC"/>
    <x v="4"/>
    <s v="TEC-5018"/>
    <x v="1"/>
    <s v=":TBL"/>
    <s v="FUR::TBL"/>
    <s v="Office Chair"/>
    <n v="6766.49"/>
    <n v="11"/>
    <n v="20"/>
    <n v="28.05"/>
    <n v="2125"/>
    <x v="3"/>
    <n v="2025"/>
    <x v="1"/>
    <x v="1"/>
    <n v="33"/>
    <n v="10492.902424242426"/>
    <n v="189"/>
    <n v="16.584242424242422"/>
    <n v="17206.18"/>
    <n v="68.73"/>
    <n v="2"/>
    <n v="60"/>
    <n v="74431.39"/>
    <n v="14886.278"/>
    <n v="59545.112000000001"/>
    <n v="61670.112000000001"/>
    <n v="3"/>
  </r>
  <r>
    <n v="69"/>
    <s v="CA-2024-747972"/>
    <s v="Monday"/>
    <x v="8"/>
    <s v="2025-09-08"/>
    <s v="2025-09-10"/>
    <s v="Second Class"/>
    <s v="AB-85687"/>
    <s v="Reyansh Iyer"/>
    <s v="Reyansh Iyer"/>
    <x v="0"/>
    <s v="Kolkata"/>
    <x v="0"/>
    <s v="India"/>
    <n v="755250"/>
    <s v="APAC"/>
    <x v="1"/>
    <s v="TEC-2970"/>
    <x v="2"/>
    <s v=":ART"/>
    <s v="OFF::ART"/>
    <s v="Office Chair"/>
    <n v="6955.33"/>
    <n v="7"/>
    <n v="10"/>
    <n v="17.059999999999999"/>
    <n v="2431.12"/>
    <x v="3"/>
    <n v="2025"/>
    <x v="0"/>
    <x v="0"/>
    <n v="32"/>
    <n v="10609.352812500001"/>
    <n v="178"/>
    <n v="16.225937500000001"/>
    <n v="17206.18"/>
    <n v="68.73"/>
    <n v="2"/>
    <n v="60"/>
    <n v="48687.31"/>
    <n v="4868.7309999999998"/>
    <n v="43818.578999999998"/>
    <n v="46249.699000000001"/>
    <n v="2"/>
  </r>
  <r>
    <n v="70"/>
    <s v="CA-2025-556551"/>
    <s v="Thursday"/>
    <x v="8"/>
    <s v="2025-09-11"/>
    <s v="2025-09-12"/>
    <s v="Standard Class"/>
    <s v="AB-75560"/>
    <s v="Rohan Patel"/>
    <s v="rohan patel"/>
    <x v="2"/>
    <s v="Bengaluru"/>
    <x v="6"/>
    <s v="India"/>
    <n v="619931"/>
    <s v="APAC"/>
    <x v="3"/>
    <s v="TEC-9389"/>
    <x v="0"/>
    <s v=":MSW"/>
    <s v="TEC::MSW"/>
    <s v="Laptop Stand"/>
    <n v="1620.01"/>
    <n v="2"/>
    <n v="20"/>
    <n v="38.15"/>
    <n v="184.97"/>
    <x v="0"/>
    <n v="2025"/>
    <x v="8"/>
    <x v="10"/>
    <n v="31"/>
    <n v="10727.224516129036"/>
    <n v="171"/>
    <n v="16.19903225806452"/>
    <n v="17206.18"/>
    <n v="68.73"/>
    <n v="2"/>
    <n v="60"/>
    <n v="3240.02"/>
    <n v="648.00400000000002"/>
    <n v="2592.0160000000001"/>
    <n v="2776.9859999999999"/>
    <n v="1"/>
  </r>
  <r>
    <n v="71"/>
    <s v="CA-2024-124538"/>
    <s v="Monday"/>
    <x v="8"/>
    <s v="2025-09-15"/>
    <s v="2025-09-20"/>
    <s v="Standard Class"/>
    <s v="AB-94806"/>
    <s v="Saanvi Iyer"/>
    <s v="Saanvi Iyer"/>
    <x v="0"/>
    <s v="Pune"/>
    <x v="2"/>
    <s v="India"/>
    <n v="681210"/>
    <s v="APAC"/>
    <x v="1"/>
    <s v="TEC-6765"/>
    <x v="0"/>
    <s v=":PH"/>
    <s v="TEC::PH"/>
    <s v="Whiteboard"/>
    <n v="3439.29"/>
    <n v="4"/>
    <n v="25"/>
    <n v="7.09"/>
    <n v="854.98"/>
    <x v="2"/>
    <n v="2025"/>
    <x v="0"/>
    <x v="0"/>
    <n v="30"/>
    <n v="11030.798333333336"/>
    <n v="169"/>
    <n v="15.467333333333338"/>
    <n v="17206.18"/>
    <n v="68.73"/>
    <n v="2"/>
    <n v="60"/>
    <n v="13757.16"/>
    <n v="3439.29"/>
    <n v="10317.869999999999"/>
    <n v="11172.849999999999"/>
    <n v="5"/>
  </r>
  <r>
    <n v="72"/>
    <s v="CA-2025-301664"/>
    <s v="Friday"/>
    <x v="8"/>
    <s v="2025-09-19"/>
    <s v="2025-09-23"/>
    <s v="Standard Class"/>
    <s v="AB-68156"/>
    <s v="Rohan Malhotra"/>
    <s v="Rohan Malhotra"/>
    <x v="1"/>
    <s v="Kolkata"/>
    <x v="2"/>
    <s v="India"/>
    <n v="614533"/>
    <s v="APAC"/>
    <x v="3"/>
    <s v="TEC-2202"/>
    <x v="0"/>
    <s v=":PH"/>
    <s v="TEC::PH"/>
    <s v="Smart Phone"/>
    <n v="45876.72"/>
    <n v="7"/>
    <n v="5"/>
    <n v="21.63"/>
    <n v="17206.18"/>
    <x v="1"/>
    <n v="2025"/>
    <x v="0"/>
    <x v="0"/>
    <n v="29"/>
    <n v="11292.574482758624"/>
    <n v="165"/>
    <n v="15.756206896551728"/>
    <n v="17206.18"/>
    <n v="68.73"/>
    <n v="2"/>
    <n v="60"/>
    <n v="321137.04000000004"/>
    <n v="16056.852000000003"/>
    <n v="305080.18800000002"/>
    <n v="322286.36800000002"/>
    <n v="4"/>
  </r>
  <r>
    <n v="73"/>
    <s v="CA-2025-999684"/>
    <s v="Monday"/>
    <x v="8"/>
    <s v="2025-09-22"/>
    <s v="2025-09-24"/>
    <s v="Same Day"/>
    <s v="AB-33808"/>
    <s v="Vihaan Nair"/>
    <s v="Vihaan Nair"/>
    <x v="0"/>
    <s v="Chennai"/>
    <x v="2"/>
    <s v="India"/>
    <n v="488093"/>
    <s v="APAC"/>
    <x v="3"/>
    <s v="TEC-9135"/>
    <x v="0"/>
    <s v=":MSW"/>
    <s v="TEC::MSW"/>
    <s v="Office Chair"/>
    <n v="7650.78"/>
    <n v="3"/>
    <n v="10"/>
    <n v="36.6"/>
    <n v="472.5"/>
    <x v="1"/>
    <n v="2025"/>
    <x v="0"/>
    <x v="0"/>
    <n v="28"/>
    <n v="10057.426428571429"/>
    <n v="158"/>
    <n v="15.546428571428576"/>
    <n v="11323.3"/>
    <n v="68.73"/>
    <n v="2"/>
    <n v="53"/>
    <n v="22952.34"/>
    <n v="2295.2339999999999"/>
    <n v="20657.106"/>
    <n v="21129.606"/>
    <n v="2"/>
  </r>
  <r>
    <n v="74"/>
    <s v="CA-2025-572525"/>
    <s v="Friday"/>
    <x v="8"/>
    <s v="2025-09-26"/>
    <s v="2025-09-27"/>
    <s v="Same Day"/>
    <s v="AB-66585"/>
    <s v="Aditya Iyer"/>
    <s v="Aditya Iyer"/>
    <x v="0"/>
    <s v="Chennai"/>
    <x v="2"/>
    <s v="India"/>
    <n v="716838"/>
    <s v="APAC"/>
    <x v="2"/>
    <s v="TEC-6567"/>
    <x v="2"/>
    <s v=":ART"/>
    <s v="OFF::ART"/>
    <s v="Laptop Stand"/>
    <n v="1549.51"/>
    <n v="2"/>
    <n v="5"/>
    <n v="-4.87"/>
    <n v="122.68"/>
    <x v="0"/>
    <n v="2025"/>
    <x v="5"/>
    <x v="9"/>
    <n v="27"/>
    <n v="10146.561481481483"/>
    <n v="155"/>
    <n v="14.766666666666671"/>
    <n v="11323.3"/>
    <n v="68.73"/>
    <n v="2"/>
    <n v="53"/>
    <n v="3099.02"/>
    <n v="154.95099999999999"/>
    <n v="2944.069"/>
    <n v="3066.7489999999998"/>
    <n v="1"/>
  </r>
  <r>
    <n v="75"/>
    <s v="CA-2025-284064"/>
    <s v="Tuesday"/>
    <x v="8"/>
    <s v="2025-09-30"/>
    <s v="2025-10-04"/>
    <s v="First Class"/>
    <s v="AB-47907"/>
    <s v="Ananya Verma"/>
    <s v="Ananya Verma"/>
    <x v="2"/>
    <s v="Delhi"/>
    <x v="6"/>
    <s v="India"/>
    <n v="689107"/>
    <s v="APAC"/>
    <x v="0"/>
    <s v="TEC-8667"/>
    <x v="0"/>
    <s v=":MSW"/>
    <s v="TEC::MSW"/>
    <s v="Laptop Stand"/>
    <n v="1402.61"/>
    <n v="11"/>
    <n v="0"/>
    <n v="36.86"/>
    <n v="787.83"/>
    <x v="3"/>
    <n v="2025"/>
    <x v="0"/>
    <x v="0"/>
    <n v="26"/>
    <n v="10477.217307692308"/>
    <n v="153"/>
    <n v="15.521923076923084"/>
    <n v="11323.3"/>
    <n v="68.73"/>
    <n v="2"/>
    <n v="53"/>
    <n v="15428.71"/>
    <n v="0"/>
    <n v="15428.71"/>
    <n v="16216.539999999999"/>
    <n v="4"/>
  </r>
  <r>
    <n v="76"/>
    <s v="CA-2023-723094"/>
    <s v="Friday"/>
    <x v="9"/>
    <s v="2025-10-03"/>
    <s v="2025-10-08"/>
    <s v="Same Day"/>
    <s v="AB-11030"/>
    <s v="Priya Malhotra"/>
    <s v="Priya Malhotra"/>
    <x v="2"/>
    <s v="Hyderabad"/>
    <x v="4"/>
    <s v="India"/>
    <n v="428296"/>
    <s v="APAC"/>
    <x v="3"/>
    <s v="TEC-6742"/>
    <x v="1"/>
    <s v=":CH"/>
    <s v="FUR::CH"/>
    <s v="Desk Organizer"/>
    <n v="703.87"/>
    <n v="10"/>
    <n v="5"/>
    <n v="24.39"/>
    <n v="177.88"/>
    <x v="0"/>
    <n v="2025"/>
    <x v="0"/>
    <x v="0"/>
    <n v="25"/>
    <n v="10840.201600000002"/>
    <n v="142"/>
    <n v="14.668400000000002"/>
    <n v="11323.3"/>
    <n v="68.73"/>
    <n v="2"/>
    <n v="53"/>
    <n v="7038.7"/>
    <n v="351.935"/>
    <n v="6686.7649999999994"/>
    <n v="6864.6449999999995"/>
    <n v="5"/>
  </r>
  <r>
    <n v="77"/>
    <s v="CA-2025-997421"/>
    <s v="Tuesday"/>
    <x v="9"/>
    <s v="2025-10-07"/>
    <s v="2025-10-11"/>
    <s v="Standard Class"/>
    <s v="AB-71828"/>
    <s v="Priya Jain"/>
    <s v="Priya Jain"/>
    <x v="1"/>
    <s v="Bengaluru"/>
    <x v="0"/>
    <s v="India"/>
    <n v="413808"/>
    <s v="APAC"/>
    <x v="2"/>
    <s v="TEC-6788"/>
    <x v="2"/>
    <s v=":CAB"/>
    <s v="OFF::CAB"/>
    <s v="LED Monitor"/>
    <n v="18199.45"/>
    <n v="7"/>
    <n v="0"/>
    <n v="-6.61"/>
    <n v="5228.03"/>
    <x v="0"/>
    <n v="2025"/>
    <x v="1"/>
    <x v="1"/>
    <n v="24"/>
    <n v="11262.548750000002"/>
    <n v="132"/>
    <n v="14.263333333333334"/>
    <n v="11323.3"/>
    <n v="68.73"/>
    <n v="2"/>
    <n v="53"/>
    <n v="127396.15000000001"/>
    <n v="0"/>
    <n v="127396.15000000001"/>
    <n v="132624.18000000002"/>
    <n v="4"/>
  </r>
  <r>
    <n v="78"/>
    <s v="CA-2025-745914"/>
    <s v="Saturday"/>
    <x v="9"/>
    <s v="2025-10-11"/>
    <s v="2025-10-12"/>
    <s v="Standard Class"/>
    <s v="AB-37727"/>
    <s v="Vivaan Reddy"/>
    <s v="Vivaan Reddy"/>
    <x v="0"/>
    <s v="Bengaluru"/>
    <x v="1"/>
    <s v="India"/>
    <n v="557505"/>
    <s v="APAC"/>
    <x v="0"/>
    <s v="TEC-6408"/>
    <x v="0"/>
    <s v=":MSW"/>
    <s v="TEC::MSW"/>
    <s v="Whiteboard"/>
    <n v="3125.21"/>
    <n v="1"/>
    <n v="0"/>
    <n v="5.05"/>
    <n v="68.73"/>
    <x v="0"/>
    <n v="2025"/>
    <x v="6"/>
    <x v="6"/>
    <n v="23"/>
    <n v="10960.944347826087"/>
    <n v="125"/>
    <n v="15.170869565217391"/>
    <n v="11323.3"/>
    <n v="68.73"/>
    <n v="2"/>
    <n v="46"/>
    <n v="3125.21"/>
    <n v="0"/>
    <n v="3125.21"/>
    <n v="3193.94"/>
    <n v="1"/>
  </r>
  <r>
    <n v="79"/>
    <s v="CA-2023-318126"/>
    <s v="Tuesday"/>
    <x v="9"/>
    <s v="2025-10-14"/>
    <s v="20/10/2025"/>
    <s v="Same Day"/>
    <s v="AB-18430"/>
    <s v="Ayaan Sharma"/>
    <s v="Ayaan Sharma"/>
    <x v="0"/>
    <s v="Ahmedabad"/>
    <x v="6"/>
    <s v="India"/>
    <n v="638068"/>
    <s v="APAC"/>
    <x v="3"/>
    <s v="TEC-9669"/>
    <x v="2"/>
    <s v=":BIN"/>
    <s v="OFF::BIN"/>
    <s v="Smart Phone"/>
    <n v="45170.26"/>
    <n v="8"/>
    <n v="5"/>
    <n v="25.41"/>
    <n v="8930.9599999999991"/>
    <x v="3"/>
    <n v="2025"/>
    <x v="2"/>
    <x v="2"/>
    <n v="22"/>
    <n v="11317.114090909092"/>
    <n v="124"/>
    <n v="15.630909090909091"/>
    <n v="11323.3"/>
    <n v="71.12"/>
    <n v="2"/>
    <n v="46"/>
    <n v="361362.08"/>
    <n v="18068.104000000003"/>
    <n v="343293.97600000002"/>
    <n v="352224.93600000005"/>
    <n v="6"/>
  </r>
  <r>
    <n v="80"/>
    <s v="CA-2024-222409"/>
    <s v="Saturday"/>
    <x v="9"/>
    <s v="2025-10-18"/>
    <s v="2025-10-24"/>
    <s v="Second Class"/>
    <s v="AB-72307"/>
    <s v="Saanvi Gupta"/>
    <s v="Saanvi Gupta"/>
    <x v="0"/>
    <s v="Ahmedabad"/>
    <x v="2"/>
    <s v="India"/>
    <n v="568153"/>
    <s v="APAC"/>
    <x v="3"/>
    <s v="TEC-1922"/>
    <x v="0"/>
    <s v=":MSW"/>
    <s v="TEC::MSW"/>
    <s v="Wireless Mouse"/>
    <n v="1091.27"/>
    <n v="3"/>
    <n v="10"/>
    <n v="-6.63"/>
    <n v="143.44"/>
    <x v="2"/>
    <n v="2025"/>
    <x v="4"/>
    <x v="8"/>
    <n v="21"/>
    <n v="9705.0595238095229"/>
    <n v="116"/>
    <n v="15.165238095238097"/>
    <n v="11323.3"/>
    <n v="71.12"/>
    <n v="1"/>
    <n v="38"/>
    <n v="3273.81"/>
    <n v="327.38099999999997"/>
    <n v="2946.4290000000001"/>
    <n v="3089.8690000000001"/>
    <n v="6"/>
  </r>
  <r>
    <n v="81"/>
    <s v="CA-2023-353618"/>
    <s v="Wednesday"/>
    <x v="9"/>
    <s v="2025-10-22"/>
    <s v="2025-10-26"/>
    <s v="Same Day"/>
    <s v="AB-33848"/>
    <s v="Ishaan Iyer"/>
    <s v="Ishaan Iyer"/>
    <x v="1"/>
    <s v="Kolkata"/>
    <x v="4"/>
    <s v="India"/>
    <n v="794541"/>
    <s v="APAC"/>
    <x v="1"/>
    <s v="TEC-1419"/>
    <x v="0"/>
    <s v=":PH"/>
    <s v="TEC::PH"/>
    <s v="File Cabinet"/>
    <n v="11199.08"/>
    <n v="2"/>
    <n v="25"/>
    <n v="19.11"/>
    <n v="626.32000000000005"/>
    <x v="0"/>
    <n v="2025"/>
    <x v="1"/>
    <x v="1"/>
    <n v="20"/>
    <n v="10135.749"/>
    <n v="113"/>
    <n v="16.255000000000003"/>
    <n v="11323.3"/>
    <n v="71.12"/>
    <n v="1"/>
    <n v="38"/>
    <n v="22398.16"/>
    <n v="5599.54"/>
    <n v="16798.62"/>
    <n v="17424.939999999999"/>
    <n v="4"/>
  </r>
  <r>
    <n v="82"/>
    <s v="CA-2025-150015"/>
    <s v="Saturday"/>
    <x v="9"/>
    <s v="2025-10-25"/>
    <s v="2025-10-28"/>
    <s v="Same Day"/>
    <s v="AB-14173"/>
    <s v="Arjun Jain"/>
    <s v="Arjun Jain"/>
    <x v="1"/>
    <s v="Bengaluru"/>
    <x v="1"/>
    <s v="India"/>
    <n v="753412"/>
    <s v="APAC"/>
    <x v="1"/>
    <s v="TEC-3204"/>
    <x v="2"/>
    <s v=":BIN"/>
    <s v="OFF::BIN"/>
    <s v="LED Monitor"/>
    <n v="19380.72"/>
    <n v="3"/>
    <n v="20"/>
    <n v="7.29"/>
    <n v="3142.73"/>
    <x v="3"/>
    <n v="2025"/>
    <x v="2"/>
    <x v="2"/>
    <n v="19"/>
    <n v="10079.784210526315"/>
    <n v="111"/>
    <n v="16.104736842105265"/>
    <n v="11323.3"/>
    <n v="71.12"/>
    <n v="1"/>
    <n v="36"/>
    <n v="58142.16"/>
    <n v="11628.432000000003"/>
    <n v="46513.728000000003"/>
    <n v="49656.458000000006"/>
    <n v="3"/>
  </r>
  <r>
    <n v="83"/>
    <s v="CA-2025-222096"/>
    <s v="Wednesday"/>
    <x v="9"/>
    <s v="2025-10-29"/>
    <s v="2025-11-02"/>
    <s v="Standard Class"/>
    <s v="AB-72695"/>
    <s v="Pooja Nair"/>
    <s v="Pooja Nair"/>
    <x v="1"/>
    <s v="Kolkata"/>
    <x v="1"/>
    <s v="India"/>
    <n v="566982"/>
    <s v="APAC"/>
    <x v="0"/>
    <s v="TEC-2120"/>
    <x v="0"/>
    <s v=":PH"/>
    <s v="TEC::PH"/>
    <s v="LED Monitor"/>
    <n v="16956.36"/>
    <n v="5"/>
    <n v="20"/>
    <n v="21.05"/>
    <n v="5202.88"/>
    <x v="2"/>
    <n v="2025"/>
    <x v="0"/>
    <x v="0"/>
    <n v="18"/>
    <n v="9563.065555555555"/>
    <n v="108"/>
    <n v="16.594444444444449"/>
    <n v="11323.3"/>
    <n v="71.12"/>
    <n v="0"/>
    <n v="33"/>
    <n v="84781.8"/>
    <n v="16956.36"/>
    <n v="67825.440000000002"/>
    <n v="73028.320000000007"/>
    <n v="4"/>
  </r>
  <r>
    <n v="84"/>
    <s v="CA-2023-210687"/>
    <s v="Sunday"/>
    <x v="10"/>
    <s v="2025-11-02"/>
    <s v="2025-11-04"/>
    <s v="First Class"/>
    <s v="AB-30324"/>
    <s v="Vivaan Reddy"/>
    <s v="Vivaan Reddy"/>
    <x v="1"/>
    <s v="Pune"/>
    <x v="5"/>
    <s v="India"/>
    <n v="620412"/>
    <s v="APAC"/>
    <x v="3"/>
    <s v="TEC-1950"/>
    <x v="0"/>
    <s v=":MON"/>
    <s v="TEC::MON"/>
    <s v="Desk Organizer"/>
    <n v="663.41"/>
    <n v="11"/>
    <n v="25"/>
    <n v="-7.71"/>
    <n v="496.49"/>
    <x v="0"/>
    <n v="2025"/>
    <x v="6"/>
    <x v="6"/>
    <n v="17"/>
    <n v="9128.1658823529415"/>
    <n v="103"/>
    <n v="16.332352941176474"/>
    <n v="11323.3"/>
    <n v="71.12"/>
    <n v="0"/>
    <n v="28"/>
    <n v="7297.5099999999993"/>
    <n v="1824.3774999999996"/>
    <n v="5473.1324999999997"/>
    <n v="5969.6224999999995"/>
    <n v="2"/>
  </r>
  <r>
    <n v="85"/>
    <s v="CA-2024-835716"/>
    <s v="Wednesday"/>
    <x v="10"/>
    <s v="2025-11-05"/>
    <s v="2025-11-07"/>
    <s v="Standard Class"/>
    <s v="AB-16985"/>
    <s v="Ananya Jain"/>
    <s v="Ananya Jain"/>
    <x v="1"/>
    <s v="Kolkata"/>
    <x v="6"/>
    <s v="India"/>
    <n v="419871"/>
    <s v="APAC"/>
    <x v="4"/>
    <s v="TEC-3336"/>
    <x v="1"/>
    <s v=":TBL"/>
    <s v="FUR::TBL"/>
    <s v="Wireless Mouse"/>
    <n v="1138.8800000000001"/>
    <n v="8"/>
    <n v="0"/>
    <n v="33.58"/>
    <n v="291.64"/>
    <x v="1"/>
    <n v="2025"/>
    <x v="8"/>
    <x v="10"/>
    <n v="16"/>
    <n v="9657.2131250000002"/>
    <n v="92"/>
    <n v="17.835000000000001"/>
    <n v="11323.3"/>
    <n v="71.12"/>
    <n v="0"/>
    <n v="28"/>
    <n v="9111.0400000000009"/>
    <n v="0"/>
    <n v="9111.0400000000009"/>
    <n v="9402.68"/>
    <n v="2"/>
  </r>
  <r>
    <n v="86"/>
    <s v="CA-2025-827270"/>
    <s v="Sunday"/>
    <x v="10"/>
    <s v="2025-11-09"/>
    <s v="2025-11-15"/>
    <s v="First Class"/>
    <s v="AB-82489"/>
    <s v="Arjun Iyer"/>
    <s v="Arjun Iyer"/>
    <x v="2"/>
    <s v="Ahmedabad"/>
    <x v="2"/>
    <s v="India"/>
    <n v="603197"/>
    <s v="APAC"/>
    <x v="1"/>
    <s v="TEC-6373"/>
    <x v="0"/>
    <s v=":PH"/>
    <s v="TEC::PH"/>
    <s v="Office Chair"/>
    <n v="7333.94"/>
    <n v="10"/>
    <n v="0"/>
    <n v="38.67"/>
    <n v="2203.77"/>
    <x v="2"/>
    <n v="2025"/>
    <x v="6"/>
    <x v="6"/>
    <n v="15"/>
    <n v="10225.102000000001"/>
    <n v="84"/>
    <n v="16.785333333333334"/>
    <n v="11323.3"/>
    <n v="71.12"/>
    <n v="0"/>
    <n v="28"/>
    <n v="73339.399999999994"/>
    <n v="0"/>
    <n v="73339.399999999994"/>
    <n v="75543.17"/>
    <n v="6"/>
  </r>
  <r>
    <n v="87"/>
    <s v="CA-2023-298286"/>
    <s v="Thursday"/>
    <x v="10"/>
    <s v="2025-11-13"/>
    <s v="2025-11-16"/>
    <s v="Standard Class"/>
    <s v="AB-96719"/>
    <s v="Aarav Mehta"/>
    <s v="Aarav Mehta"/>
    <x v="0"/>
    <s v="Hyderabad"/>
    <x v="6"/>
    <s v="India"/>
    <n v="648684"/>
    <s v="APAC"/>
    <x v="0"/>
    <s v="TEC-3243"/>
    <x v="2"/>
    <s v=":BIN"/>
    <s v="OFF::BIN"/>
    <s v="Office Chair"/>
    <n v="7183.04"/>
    <n v="7"/>
    <n v="10"/>
    <n v="38.44"/>
    <n v="1321.09"/>
    <x v="0"/>
    <n v="2025"/>
    <x v="1"/>
    <x v="1"/>
    <n v="14"/>
    <n v="10431.613571428572"/>
    <n v="74"/>
    <n v="15.222142857142858"/>
    <n v="11323.3"/>
    <n v="71.12"/>
    <n v="0"/>
    <n v="28"/>
    <n v="50281.279999999999"/>
    <n v="5028.1279999999997"/>
    <n v="45253.152000000002"/>
    <n v="46574.241999999998"/>
    <n v="3"/>
  </r>
  <r>
    <n v="88"/>
    <s v="CA-2025-874684"/>
    <s v="Sunday"/>
    <x v="10"/>
    <s v="2025-11-16"/>
    <s v="2025-11-17"/>
    <s v="Same Day"/>
    <s v="AB-56555"/>
    <s v="Sai Jain"/>
    <s v="Sai Jain"/>
    <x v="0"/>
    <s v="Kolkata"/>
    <x v="4"/>
    <s v="India"/>
    <n v="634678"/>
    <s v="APAC"/>
    <x v="3"/>
    <s v="TEC-3645"/>
    <x v="0"/>
    <s v=":MON"/>
    <s v="TEC::MON"/>
    <s v="Desk Organizer"/>
    <n v="631.24"/>
    <n v="7"/>
    <n v="15"/>
    <n v="27.48"/>
    <n v="257.10000000000002"/>
    <x v="2"/>
    <n v="2025"/>
    <x v="0"/>
    <x v="0"/>
    <n v="13"/>
    <n v="10681.503846153848"/>
    <n v="67"/>
    <n v="13.436153846153847"/>
    <n v="11323.3"/>
    <n v="71.12"/>
    <n v="0"/>
    <n v="28"/>
    <n v="4418.68"/>
    <n v="662.80200000000013"/>
    <n v="3755.8780000000002"/>
    <n v="4012.9780000000001"/>
    <n v="1"/>
  </r>
  <r>
    <n v="89"/>
    <s v="CA-2023-424767"/>
    <s v="Thursday"/>
    <x v="10"/>
    <s v="2025-11-20"/>
    <s v="2025-11-22"/>
    <s v="Standard Class"/>
    <s v="AB-30399"/>
    <s v="Neha Malhotra"/>
    <s v="Neha Malhotra"/>
    <x v="0"/>
    <s v="Mumbai"/>
    <x v="1"/>
    <s v="India"/>
    <n v="426791"/>
    <s v="APAC"/>
    <x v="3"/>
    <s v="TEC-5612"/>
    <x v="0"/>
    <s v=":PH"/>
    <s v="TEC::PH"/>
    <s v="Laptop Stand"/>
    <n v="1565.71"/>
    <n v="7"/>
    <n v="5"/>
    <n v="-3.5"/>
    <n v="683.78"/>
    <x v="2"/>
    <n v="2025"/>
    <x v="6"/>
    <x v="6"/>
    <n v="12"/>
    <n v="11519.025833333333"/>
    <n v="60"/>
    <n v="12.265833333333333"/>
    <n v="11323.3"/>
    <n v="71.12"/>
    <n v="0"/>
    <n v="28"/>
    <n v="10959.970000000001"/>
    <n v="547.99850000000004"/>
    <n v="10411.971500000001"/>
    <n v="11095.751500000002"/>
    <n v="2"/>
  </r>
  <r>
    <n v="90"/>
    <s v="CA-2025-961882"/>
    <s v="Monday"/>
    <x v="10"/>
    <s v="24/11/2025"/>
    <s v="2025-11-30"/>
    <s v="Standard Class"/>
    <s v="AB-28032"/>
    <s v="Diya Reddy"/>
    <s v="Diya Reddy"/>
    <x v="0"/>
    <s v="Hyderabad"/>
    <x v="6"/>
    <s v="India"/>
    <n v="518875"/>
    <s v="APAC"/>
    <x v="4"/>
    <s v="TEC-2865"/>
    <x v="1"/>
    <s v=":CH"/>
    <s v="FUR::CH"/>
    <s v="Office Chair"/>
    <n v="7195.68"/>
    <n v="8"/>
    <n v="0"/>
    <n v="27.91"/>
    <n v="1260.4100000000001"/>
    <x v="2"/>
    <n v="2025"/>
    <x v="7"/>
    <x v="7"/>
    <n v="11"/>
    <n v="12423.872727272728"/>
    <n v="53"/>
    <n v="13.699090909090909"/>
    <n v="11323.3"/>
    <n v="71.12"/>
    <n v="0"/>
    <n v="28"/>
    <n v="57565.440000000002"/>
    <n v="0"/>
    <n v="57565.440000000002"/>
    <n v="58825.850000000006"/>
    <n v="6"/>
  </r>
  <r>
    <n v="91"/>
    <s v="CA-2025-479989"/>
    <s v="Thursday"/>
    <x v="10"/>
    <s v="2025-11-27"/>
    <s v="02/12/2025"/>
    <s v="Standard Class"/>
    <s v="AB-85895"/>
    <s v="Krishna Patel"/>
    <s v="Krishna Patel"/>
    <x v="0"/>
    <s v="Bengaluru"/>
    <x v="2"/>
    <s v="India"/>
    <n v="687434"/>
    <s v="APAC"/>
    <x v="0"/>
    <s v="TEC-7028"/>
    <x v="0"/>
    <s v=":MSW"/>
    <s v="TEC::MSW"/>
    <s v="Whiteboard"/>
    <n v="3242.5"/>
    <n v="1"/>
    <n v="20"/>
    <n v="-8.77"/>
    <n v="246.99"/>
    <x v="2"/>
    <n v="2025"/>
    <x v="6"/>
    <x v="6"/>
    <n v="10"/>
    <n v="12946.692000000001"/>
    <n v="45"/>
    <n v="12.278"/>
    <n v="11323.3"/>
    <n v="71.12"/>
    <n v="0"/>
    <n v="28"/>
    <n v="3242.5"/>
    <n v="648.5"/>
    <n v="2594"/>
    <n v="2840.99"/>
    <n v="5"/>
  </r>
  <r>
    <n v="92"/>
    <s v="CA-2024-471369"/>
    <s v="Monday"/>
    <x v="11"/>
    <s v="2025-12-01"/>
    <s v="2025-12-07"/>
    <s v="Same Day"/>
    <s v="AB-18717"/>
    <s v="Aditya Gupta"/>
    <s v="Aditya Gupta"/>
    <x v="0"/>
    <s v="Bengaluru"/>
    <x v="5"/>
    <s v="India"/>
    <n v="624787"/>
    <s v="APAC"/>
    <x v="3"/>
    <s v="TEC-8326"/>
    <x v="1"/>
    <s v=":TBL"/>
    <s v="FUR::TBL"/>
    <s v="Smart Phone"/>
    <n v="44784.45"/>
    <n v="4"/>
    <n v="10"/>
    <n v="-8.89"/>
    <n v="4141.3599999999997"/>
    <x v="2"/>
    <n v="2025"/>
    <x v="0"/>
    <x v="0"/>
    <n v="9"/>
    <n v="14024.935555555558"/>
    <n v="44"/>
    <n v="14.616666666666665"/>
    <n v="11323.3"/>
    <n v="71.12"/>
    <n v="0"/>
    <n v="28"/>
    <n v="179137.8"/>
    <n v="17913.78"/>
    <n v="161224.01999999999"/>
    <n v="165365.37999999998"/>
    <n v="6"/>
  </r>
  <r>
    <n v="93"/>
    <s v="CA-2023-542296"/>
    <s v="Friday"/>
    <x v="11"/>
    <s v="2025-12-05"/>
    <s v="2025-12-07"/>
    <s v="Same Day"/>
    <s v="AB-10399"/>
    <s v="Ayaan Mehta"/>
    <s v="Ayaan Mehta"/>
    <x v="0"/>
    <s v="Kolkata"/>
    <x v="6"/>
    <s v="India"/>
    <n v="415486"/>
    <s v="APAC"/>
    <x v="1"/>
    <s v="TEC-7371"/>
    <x v="0"/>
    <s v=":PH"/>
    <s v="TEC::PH"/>
    <s v="LED Monitor"/>
    <n v="19105.580000000002"/>
    <n v="6"/>
    <n v="5"/>
    <n v="6.18"/>
    <n v="6015.71"/>
    <x v="2"/>
    <n v="2025"/>
    <x v="5"/>
    <x v="9"/>
    <n v="8"/>
    <n v="10179.99625"/>
    <n v="40"/>
    <n v="17.555"/>
    <n v="11323.3"/>
    <n v="71.12"/>
    <n v="0"/>
    <n v="24"/>
    <n v="114633.48000000001"/>
    <n v="5731.674"/>
    <n v="108901.80600000001"/>
    <n v="114917.51600000002"/>
    <n v="2"/>
  </r>
  <r>
    <n v="94"/>
    <s v="CA-2023-626981"/>
    <s v="Monday"/>
    <x v="11"/>
    <s v="2025-12-08"/>
    <s v="2025-12-10"/>
    <s v="Same Day"/>
    <s v="AB-10419"/>
    <s v="Vihaan Reddy"/>
    <s v="Vihaan Reddy"/>
    <x v="0"/>
    <s v="Hyderabad"/>
    <x v="0"/>
    <s v="India"/>
    <n v="706627"/>
    <s v="APAC"/>
    <x v="4"/>
    <s v="TEC-7359"/>
    <x v="0"/>
    <s v=":MON"/>
    <s v="TEC::MON"/>
    <s v="LED Monitor"/>
    <n v="20116.27"/>
    <n v="9"/>
    <n v="10"/>
    <n v="14.43"/>
    <n v="11323.3"/>
    <x v="0"/>
    <n v="2025"/>
    <x v="7"/>
    <x v="7"/>
    <n v="7"/>
    <n v="8904.9128571428573"/>
    <n v="34"/>
    <n v="19.18"/>
    <n v="11323.3"/>
    <n v="71.12"/>
    <n v="0"/>
    <n v="18"/>
    <n v="181046.43"/>
    <n v="18104.642999999996"/>
    <n v="162941.78700000001"/>
    <n v="174265.087"/>
    <n v="2"/>
  </r>
  <r>
    <n v="95"/>
    <s v="CA-2024-252906"/>
    <s v="Friday"/>
    <x v="11"/>
    <s v="2025-12-12"/>
    <s v="2025-12-18"/>
    <s v="Same Day"/>
    <s v="AB-50958"/>
    <s v="Sai Verma"/>
    <s v="Sai Verma"/>
    <x v="2"/>
    <s v="Ahmedabad"/>
    <x v="5"/>
    <s v="India"/>
    <n v="486189"/>
    <s v="APAC"/>
    <x v="0"/>
    <s v="TEC-8863"/>
    <x v="1"/>
    <s v=":CH"/>
    <s v="FUR::CH"/>
    <s v="Whiteboard"/>
    <n v="3348.85"/>
    <n v="2"/>
    <n v="5"/>
    <n v="28.52"/>
    <n v="483.96"/>
    <x v="1"/>
    <n v="2025"/>
    <x v="6"/>
    <x v="6"/>
    <n v="6"/>
    <n v="7036.3533333333326"/>
    <n v="25"/>
    <n v="19.971666666666668"/>
    <n v="5896.76"/>
    <n v="71.12"/>
    <n v="0"/>
    <n v="9"/>
    <n v="6697.7"/>
    <n v="334.88499999999999"/>
    <n v="6362.8149999999996"/>
    <n v="6846.7749999999996"/>
    <n v="6"/>
  </r>
  <r>
    <n v="96"/>
    <s v="CA-2024-175766"/>
    <s v="Tuesday"/>
    <x v="11"/>
    <s v="2025-12-16"/>
    <s v="2025-12-17"/>
    <s v="First Class"/>
    <s v="AB-57941"/>
    <s v="Pooja Malhotra"/>
    <s v="Pooja Malhotra"/>
    <x v="0"/>
    <s v="Ahmedabad"/>
    <x v="2"/>
    <s v="India"/>
    <n v="404749"/>
    <s v="APAC"/>
    <x v="4"/>
    <s v="TEC-4228"/>
    <x v="2"/>
    <s v=":ART"/>
    <s v="OFF::ART"/>
    <s v="Wireless Mouse"/>
    <n v="1131.5899999999999"/>
    <n v="1"/>
    <n v="5"/>
    <n v="24.16"/>
    <n v="71.12"/>
    <x v="3"/>
    <n v="2025"/>
    <x v="4"/>
    <x v="8"/>
    <n v="5"/>
    <n v="7773.8539999999994"/>
    <n v="23"/>
    <n v="18.262"/>
    <n v="5896.76"/>
    <n v="71.12"/>
    <n v="0"/>
    <n v="9"/>
    <n v="1131.5899999999999"/>
    <n v="56.579499999999996"/>
    <n v="1075.0104999999999"/>
    <n v="1146.1304999999998"/>
    <n v="1"/>
  </r>
  <r>
    <n v="97"/>
    <s v="CA-2023-668550"/>
    <s v="Friday"/>
    <x v="11"/>
    <s v="2025-12-19"/>
    <s v="2025-12-23"/>
    <s v="First Class"/>
    <s v="AB-39204"/>
    <s v="Priya Jain"/>
    <s v="Priya Jain"/>
    <x v="2"/>
    <s v="Chennai"/>
    <x v="4"/>
    <s v="India"/>
    <n v="617842"/>
    <s v="APAC"/>
    <x v="1"/>
    <s v="TEC-4719"/>
    <x v="0"/>
    <s v=":MON"/>
    <s v="TEC::MON"/>
    <s v="Office Chair"/>
    <n v="6796.77"/>
    <n v="10"/>
    <n v="25"/>
    <n v="12.3"/>
    <n v="4628.8500000000004"/>
    <x v="2"/>
    <n v="2025"/>
    <x v="4"/>
    <x v="8"/>
    <n v="4"/>
    <n v="9434.42"/>
    <n v="22"/>
    <n v="16.787500000000001"/>
    <n v="5896.76"/>
    <n v="81.290000000000006"/>
    <n v="0"/>
    <n v="9"/>
    <n v="67967.700000000012"/>
    <n v="16991.925000000003"/>
    <n v="50975.775000000009"/>
    <n v="55604.625000000007"/>
    <n v="4"/>
  </r>
  <r>
    <n v="98"/>
    <s v="CA-2024-910208"/>
    <s v="Tuesday"/>
    <x v="11"/>
    <s v="2025-12-23"/>
    <s v="2025-12-25"/>
    <s v="Second Class"/>
    <s v="AB-22778"/>
    <s v="Rohan Reddy"/>
    <s v="Rohan Reddy"/>
    <x v="1"/>
    <s v="Bengaluru"/>
    <x v="1"/>
    <s v="India"/>
    <n v="540508"/>
    <s v="APAC"/>
    <x v="0"/>
    <s v="TEC-3371"/>
    <x v="0"/>
    <s v=":MSW"/>
    <s v="TEC::MSW"/>
    <s v="LED Monitor"/>
    <n v="17620.38"/>
    <n v="2"/>
    <n v="0"/>
    <n v="3.68"/>
    <n v="1422.56"/>
    <x v="3"/>
    <n v="2025"/>
    <x v="6"/>
    <x v="6"/>
    <n v="3"/>
    <n v="10313.636666666667"/>
    <n v="12"/>
    <n v="18.283333333333335"/>
    <n v="5896.76"/>
    <n v="81.290000000000006"/>
    <n v="0"/>
    <n v="9"/>
    <n v="35240.76"/>
    <n v="0"/>
    <n v="35240.76"/>
    <n v="36663.32"/>
    <n v="2"/>
  </r>
  <r>
    <n v="99"/>
    <s v="CA-2023-752664"/>
    <s v="Saturday"/>
    <x v="11"/>
    <s v="2025-12-27"/>
    <s v="2026-01-02"/>
    <s v="Same Day"/>
    <s v="AB-28399"/>
    <s v="Sai Gupta"/>
    <s v="Sai Gupta"/>
    <x v="0"/>
    <s v="Delhi"/>
    <x v="6"/>
    <s v="India"/>
    <n v="665854"/>
    <s v="APAC"/>
    <x v="4"/>
    <s v="TEC-3891"/>
    <x v="0"/>
    <s v=":MON"/>
    <s v="TEC::MON"/>
    <s v="File Cabinet"/>
    <n v="12228.19"/>
    <n v="7"/>
    <n v="10"/>
    <n v="39.86"/>
    <n v="5896.76"/>
    <x v="0"/>
    <n v="2025"/>
    <x v="5"/>
    <x v="9"/>
    <n v="2"/>
    <n v="6660.2650000000003"/>
    <n v="10"/>
    <n v="25.585000000000001"/>
    <n v="5896.76"/>
    <n v="81.290000000000006"/>
    <n v="0"/>
    <n v="7"/>
    <n v="85597.33"/>
    <n v="8559.7330000000002"/>
    <n v="77037.597000000009"/>
    <n v="82934.357000000004"/>
    <n v="6"/>
  </r>
  <r>
    <n v="100"/>
    <s v="CA-2025-554589"/>
    <s v="Wednesday"/>
    <x v="11"/>
    <s v="2025-12-31"/>
    <s v="2026-01-06"/>
    <s v="First Class"/>
    <s v="AB-70115"/>
    <s v="Vivaan Reddy"/>
    <s v="Vivaan Reddy"/>
    <x v="1"/>
    <s v="Chennai"/>
    <x v="2"/>
    <s v="India"/>
    <n v="523962"/>
    <s v="APAC"/>
    <x v="2"/>
    <s v="TEC-4756"/>
    <x v="1"/>
    <s v=":CH"/>
    <s v="FUR::CH"/>
    <s v="Wireless Mouse"/>
    <n v="1092.3399999999999"/>
    <n v="3"/>
    <n v="10"/>
    <n v="11.31"/>
    <n v="81.290000000000006"/>
    <x v="2"/>
    <n v="2025"/>
    <x v="8"/>
    <x v="10"/>
    <n v="1"/>
    <n v="1092.3399999999999"/>
    <n v="3"/>
    <n v="11.31"/>
    <n v="81.290000000000006"/>
    <n v="81.290000000000006"/>
    <n v="0"/>
    <n v="0"/>
    <n v="3277.0199999999995"/>
    <n v="327.702"/>
    <n v="2949.3179999999993"/>
    <n v="3030.6079999999993"/>
    <n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6D01527-CE84-412B-B507-54F16A396DD6}"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3:B29" firstHeaderRow="1" firstDataRow="1" firstDataCol="1"/>
  <pivotFields count="44">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axis="axisRow" showAll="0">
      <items count="6">
        <item x="0"/>
        <item x="2"/>
        <item x="1"/>
        <item x="4"/>
        <item x="3"/>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10">
        <item x="1"/>
        <item x="5"/>
        <item x="6"/>
        <item x="3"/>
        <item x="4"/>
        <item x="7"/>
        <item x="8"/>
        <item x="0"/>
        <item x="2"/>
        <item t="default"/>
      </items>
    </pivotField>
    <pivotField showAll="0"/>
    <pivotField showAll="0"/>
    <pivotField numFmtId="2" showAll="0"/>
    <pivotField showAll="0"/>
    <pivotField showAll="0"/>
    <pivotField showAll="0"/>
    <pivotField showAll="0"/>
    <pivotField showAll="0"/>
    <pivotField showAll="0"/>
    <pivotField showAll="0"/>
    <pivotField showAll="0"/>
    <pivotField showAll="0"/>
    <pivotField showAll="0"/>
    <pivotField showAll="0"/>
  </pivotFields>
  <rowFields count="1">
    <field x="16"/>
  </rowFields>
  <rowItems count="6">
    <i>
      <x/>
    </i>
    <i>
      <x v="1"/>
    </i>
    <i>
      <x v="2"/>
    </i>
    <i>
      <x v="3"/>
    </i>
    <i>
      <x v="4"/>
    </i>
    <i t="grand">
      <x/>
    </i>
  </rowItems>
  <colItems count="1">
    <i/>
  </colItems>
  <dataFields count="1">
    <dataField name="Average of Profit" fld="25" subtotal="average" baseField="16" baseItem="0"/>
  </dataFields>
  <chartFormats count="2">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493A072-3580-4960-8116-E03676C81E16}"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44">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items count="6">
        <item x="0"/>
        <item x="2"/>
        <item x="1"/>
        <item x="4"/>
        <item x="3"/>
        <item t="default"/>
      </items>
    </pivotField>
    <pivotField showAll="0"/>
    <pivotField axis="axisRow" showAll="0">
      <items count="4">
        <item x="1"/>
        <item x="2"/>
        <item x="0"/>
        <item t="default"/>
      </items>
    </pivotField>
    <pivotField showAll="0"/>
    <pivotField showAll="0"/>
    <pivotField showAll="0"/>
    <pivotField showAll="0"/>
    <pivotField dataField="1" showAll="0"/>
    <pivotField showAll="0"/>
    <pivotField showAll="0"/>
    <pivotField showAll="0"/>
    <pivotField showAll="0"/>
    <pivotField showAll="0"/>
    <pivotField showAll="0">
      <items count="10">
        <item x="1"/>
        <item x="5"/>
        <item x="6"/>
        <item x="3"/>
        <item x="4"/>
        <item x="7"/>
        <item x="8"/>
        <item x="0"/>
        <item x="2"/>
        <item t="default"/>
      </items>
    </pivotField>
    <pivotField showAll="0"/>
    <pivotField showAll="0"/>
    <pivotField numFmtId="2" showAll="0"/>
    <pivotField showAll="0"/>
    <pivotField showAll="0"/>
    <pivotField showAll="0"/>
    <pivotField showAll="0"/>
    <pivotField showAll="0"/>
    <pivotField showAll="0"/>
    <pivotField showAll="0"/>
    <pivotField showAll="0"/>
    <pivotField showAll="0"/>
    <pivotField showAll="0"/>
    <pivotField showAll="0"/>
  </pivotFields>
  <rowFields count="1">
    <field x="18"/>
  </rowFields>
  <rowItems count="4">
    <i>
      <x/>
    </i>
    <i>
      <x v="1"/>
    </i>
    <i>
      <x v="2"/>
    </i>
    <i t="grand">
      <x/>
    </i>
  </rowItems>
  <colItems count="1">
    <i/>
  </colItems>
  <dataFields count="1">
    <dataField name="Sum of Quantity" fld="23" baseField="0" baseItem="0"/>
  </dataFields>
  <chartFormats count="12">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8" count="1" selected="0">
            <x v="0"/>
          </reference>
        </references>
      </pivotArea>
    </chartFormat>
    <chartFormat chart="2" format="7">
      <pivotArea type="data" outline="0" fieldPosition="0">
        <references count="2">
          <reference field="4294967294" count="1" selected="0">
            <x v="0"/>
          </reference>
          <reference field="18" count="1" selected="0">
            <x v="1"/>
          </reference>
        </references>
      </pivotArea>
    </chartFormat>
    <chartFormat chart="2" format="8">
      <pivotArea type="data" outline="0" fieldPosition="0">
        <references count="2">
          <reference field="4294967294" count="1" selected="0">
            <x v="0"/>
          </reference>
          <reference field="18" count="1" selected="0">
            <x v="2"/>
          </reference>
        </references>
      </pivotArea>
    </chartFormat>
    <chartFormat chart="4" format="13" series="1">
      <pivotArea type="data" outline="0" fieldPosition="0">
        <references count="1">
          <reference field="4294967294" count="1" selected="0">
            <x v="0"/>
          </reference>
        </references>
      </pivotArea>
    </chartFormat>
    <chartFormat chart="4" format="14">
      <pivotArea type="data" outline="0" fieldPosition="0">
        <references count="2">
          <reference field="4294967294" count="1" selected="0">
            <x v="0"/>
          </reference>
          <reference field="18" count="1" selected="0">
            <x v="0"/>
          </reference>
        </references>
      </pivotArea>
    </chartFormat>
    <chartFormat chart="4" format="15">
      <pivotArea type="data" outline="0" fieldPosition="0">
        <references count="2">
          <reference field="4294967294" count="1" selected="0">
            <x v="0"/>
          </reference>
          <reference field="18" count="1" selected="0">
            <x v="1"/>
          </reference>
        </references>
      </pivotArea>
    </chartFormat>
    <chartFormat chart="4" format="16">
      <pivotArea type="data" outline="0" fieldPosition="0">
        <references count="2">
          <reference field="4294967294" count="1" selected="0">
            <x v="0"/>
          </reference>
          <reference field="18" count="1" selected="0">
            <x v="2"/>
          </reference>
        </references>
      </pivotArea>
    </chartFormat>
    <chartFormat chart="6" format="21" series="1">
      <pivotArea type="data" outline="0" fieldPosition="0">
        <references count="1">
          <reference field="4294967294" count="1" selected="0">
            <x v="0"/>
          </reference>
        </references>
      </pivotArea>
    </chartFormat>
    <chartFormat chart="6" format="22">
      <pivotArea type="data" outline="0" fieldPosition="0">
        <references count="2">
          <reference field="4294967294" count="1" selected="0">
            <x v="0"/>
          </reference>
          <reference field="18" count="1" selected="0">
            <x v="0"/>
          </reference>
        </references>
      </pivotArea>
    </chartFormat>
    <chartFormat chart="6" format="23">
      <pivotArea type="data" outline="0" fieldPosition="0">
        <references count="2">
          <reference field="4294967294" count="1" selected="0">
            <x v="0"/>
          </reference>
          <reference field="18" count="1" selected="0">
            <x v="1"/>
          </reference>
        </references>
      </pivotArea>
    </chartFormat>
    <chartFormat chart="6" format="24">
      <pivotArea type="data" outline="0" fieldPosition="0">
        <references count="2">
          <reference field="4294967294" count="1" selected="0">
            <x v="0"/>
          </reference>
          <reference field="1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0077714-052E-4797-9663-86BE0C71BB61}"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C13" firstHeaderRow="0" firstDataRow="1" firstDataCol="1"/>
  <pivotFields count="44">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items count="6">
        <item x="0"/>
        <item x="2"/>
        <item x="1"/>
        <item x="4"/>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10">
        <item x="1"/>
        <item x="5"/>
        <item x="6"/>
        <item x="3"/>
        <item x="4"/>
        <item x="7"/>
        <item x="8"/>
        <item x="0"/>
        <item x="2"/>
        <item t="default"/>
      </items>
    </pivotField>
    <pivotField axis="axisRow" showAll="0">
      <items count="12">
        <item x="1"/>
        <item x="5"/>
        <item x="9"/>
        <item x="6"/>
        <item x="3"/>
        <item x="4"/>
        <item x="8"/>
        <item x="7"/>
        <item x="10"/>
        <item x="0"/>
        <item x="2"/>
        <item t="default"/>
      </items>
    </pivotField>
    <pivotField showAll="0"/>
    <pivotField numFmtId="2" showAll="0"/>
    <pivotField showAll="0"/>
    <pivotField dataField="1" showAll="0"/>
    <pivotField showAll="0"/>
    <pivotField showAll="0"/>
    <pivotField showAll="0"/>
    <pivotField showAll="0"/>
    <pivotField showAll="0"/>
    <pivotField showAll="0"/>
    <pivotField dataField="1" showAll="0"/>
    <pivotField showAll="0"/>
    <pivotField showAll="0"/>
  </pivotFields>
  <rowFields count="1">
    <field x="30"/>
  </rowFields>
  <rowItems count="12">
    <i>
      <x/>
    </i>
    <i>
      <x v="1"/>
    </i>
    <i>
      <x v="2"/>
    </i>
    <i>
      <x v="3"/>
    </i>
    <i>
      <x v="4"/>
    </i>
    <i>
      <x v="5"/>
    </i>
    <i>
      <x v="6"/>
    </i>
    <i>
      <x v="7"/>
    </i>
    <i>
      <x v="8"/>
    </i>
    <i>
      <x v="9"/>
    </i>
    <i>
      <x v="10"/>
    </i>
    <i t="grand">
      <x/>
    </i>
  </rowItems>
  <colFields count="1">
    <field x="-2"/>
  </colFields>
  <colItems count="2">
    <i>
      <x/>
    </i>
    <i i="1">
      <x v="1"/>
    </i>
  </colItems>
  <dataFields count="2">
    <dataField name="Sum of total net revenue" fld="41" baseField="0" baseItem="0"/>
    <dataField name="Sum of average profit margin" fld="34" baseField="0" baseItem="0"/>
  </dataFields>
  <chartFormats count="6">
    <chartFormat chart="8" format="5"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1"/>
          </reference>
        </references>
      </pivotArea>
    </chartFormat>
    <chartFormat chart="10" format="9" series="1">
      <pivotArea type="data" outline="0" fieldPosition="0">
        <references count="1">
          <reference field="4294967294" count="1" selected="0">
            <x v="0"/>
          </reference>
        </references>
      </pivotArea>
    </chartFormat>
    <chartFormat chart="10" format="10" series="1">
      <pivotArea type="data" outline="0" fieldPosition="0">
        <references count="1">
          <reference field="4294967294" count="1" selected="0">
            <x v="1"/>
          </reference>
        </references>
      </pivotArea>
    </chartFormat>
    <chartFormat chart="12" format="13" series="1">
      <pivotArea type="data" outline="0" fieldPosition="0">
        <references count="1">
          <reference field="4294967294" count="1" selected="0">
            <x v="0"/>
          </reference>
        </references>
      </pivotArea>
    </chartFormat>
    <chartFormat chart="12" format="14"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73EC2E9-E26E-4DE7-BCCF-BEE83A499020}"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order month">
  <location ref="H17:J30" firstHeaderRow="0" firstDataRow="1" firstDataCol="1"/>
  <pivotFields count="44">
    <pivotField showAll="0"/>
    <pivotField showAll="0"/>
    <pivotField showAll="0"/>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items count="6">
        <item x="0"/>
        <item x="2"/>
        <item x="1"/>
        <item x="4"/>
        <item x="3"/>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items count="10">
        <item x="1"/>
        <item x="5"/>
        <item x="6"/>
        <item x="3"/>
        <item x="4"/>
        <item x="7"/>
        <item x="8"/>
        <item x="0"/>
        <item x="2"/>
        <item t="default"/>
      </items>
    </pivotField>
    <pivotField showAll="0"/>
    <pivotField showAll="0"/>
    <pivotField numFmtId="2" showAll="0"/>
    <pivotField showAll="0"/>
    <pivotField showAll="0"/>
    <pivotField showAll="0"/>
    <pivotField showAll="0"/>
    <pivotField showAll="0"/>
    <pivotField showAll="0"/>
    <pivotField showAll="0"/>
    <pivotField showAll="0"/>
    <pivotField dataField="1" showAll="0"/>
    <pivotField showAll="0"/>
    <pivotField showAll="0"/>
  </pivotFields>
  <rowFields count="1">
    <field x="3"/>
  </rowFields>
  <rowItems count="13">
    <i>
      <x/>
    </i>
    <i>
      <x v="1"/>
    </i>
    <i>
      <x v="2"/>
    </i>
    <i>
      <x v="3"/>
    </i>
    <i>
      <x v="4"/>
    </i>
    <i>
      <x v="5"/>
    </i>
    <i>
      <x v="6"/>
    </i>
    <i>
      <x v="7"/>
    </i>
    <i>
      <x v="8"/>
    </i>
    <i>
      <x v="9"/>
    </i>
    <i>
      <x v="10"/>
    </i>
    <i>
      <x v="11"/>
    </i>
    <i t="grand">
      <x/>
    </i>
  </rowItems>
  <colFields count="1">
    <field x="-2"/>
  </colFields>
  <colItems count="2">
    <i>
      <x/>
    </i>
    <i i="1">
      <x v="1"/>
    </i>
  </colItems>
  <dataFields count="2">
    <dataField name="Sum of total net revenue" fld="41" baseField="0" baseItem="0"/>
    <dataField name="Sum of Shipping Cost" fld="26" baseField="0" baseItem="0"/>
  </dataFields>
  <chartFormats count="1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 chart="9" format="8" series="1">
      <pivotArea type="data" outline="0" fieldPosition="0">
        <references count="1">
          <reference field="4294967294" count="1" selected="0">
            <x v="0"/>
          </reference>
        </references>
      </pivotArea>
    </chartFormat>
    <chartFormat chart="9" format="9" series="1">
      <pivotArea type="data" outline="0" fieldPosition="0">
        <references count="1">
          <reference field="4294967294" count="1" selected="0">
            <x v="1"/>
          </reference>
        </references>
      </pivotArea>
    </chartFormat>
    <chartFormat chart="11" format="8" series="1">
      <pivotArea type="data" outline="0" fieldPosition="0">
        <references count="1">
          <reference field="4294967294" count="1" selected="0">
            <x v="0"/>
          </reference>
        </references>
      </pivotArea>
    </chartFormat>
    <chartFormat chart="11" format="9" series="1">
      <pivotArea type="data" outline="0" fieldPosition="0">
        <references count="1">
          <reference field="4294967294" count="1" selected="0">
            <x v="1"/>
          </reference>
        </references>
      </pivotArea>
    </chartFormat>
    <chartFormat chart="13" format="12" series="1">
      <pivotArea type="data" outline="0" fieldPosition="0">
        <references count="1">
          <reference field="4294967294" count="1" selected="0">
            <x v="0"/>
          </reference>
        </references>
      </pivotArea>
    </chartFormat>
    <chartFormat chart="13" format="13" series="1">
      <pivotArea type="data" outline="0" fieldPosition="0">
        <references count="1">
          <reference field="4294967294" count="1" selected="0">
            <x v="1"/>
          </reference>
        </references>
      </pivotArea>
    </chartFormat>
    <chartFormat chart="17" format="12" series="1">
      <pivotArea type="data" outline="0" fieldPosition="0">
        <references count="1">
          <reference field="4294967294" count="1" selected="0">
            <x v="0"/>
          </reference>
        </references>
      </pivotArea>
    </chartFormat>
    <chartFormat chart="17" format="1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DDAFD44-2830-4920-8CD3-D65F139D4CEF}"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7:F22" firstHeaderRow="1" firstDataRow="2" firstDataCol="1"/>
  <pivotFields count="44">
    <pivotField showAll="0"/>
    <pivotField dataField="1"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items count="6">
        <item x="0"/>
        <item x="2"/>
        <item x="1"/>
        <item x="4"/>
        <item x="3"/>
        <item t="default"/>
      </items>
    </pivotField>
    <pivotField showAll="0"/>
    <pivotField showAll="0"/>
    <pivotField showAll="0"/>
    <pivotField showAll="0"/>
    <pivotField showAll="0"/>
    <pivotField showAll="0"/>
    <pivotField showAll="0"/>
    <pivotField showAll="0"/>
    <pivotField showAll="0"/>
    <pivotField showAll="0"/>
    <pivotField axis="axisCol" showAll="0">
      <items count="5">
        <item x="2"/>
        <item x="0"/>
        <item x="1"/>
        <item x="3"/>
        <item t="default"/>
      </items>
    </pivotField>
    <pivotField showAll="0"/>
    <pivotField showAll="0">
      <items count="10">
        <item x="1"/>
        <item x="5"/>
        <item x="6"/>
        <item x="3"/>
        <item x="4"/>
        <item x="7"/>
        <item x="8"/>
        <item x="0"/>
        <item x="2"/>
        <item t="default"/>
      </items>
    </pivotField>
    <pivotField showAll="0"/>
    <pivotField showAll="0"/>
    <pivotField numFmtId="2"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Fields count="1">
    <field x="27"/>
  </colFields>
  <colItems count="5">
    <i>
      <x/>
    </i>
    <i>
      <x v="1"/>
    </i>
    <i>
      <x v="2"/>
    </i>
    <i>
      <x v="3"/>
    </i>
    <i t="grand">
      <x/>
    </i>
  </colItems>
  <dataFields count="1">
    <dataField name="Count of Order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C56C1B0-0960-48AF-BE30-277BC01FE665}"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K8" firstHeaderRow="1" firstDataRow="2" firstDataCol="1"/>
  <pivotFields count="44">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axis="axisRow" showAll="0">
      <items count="6">
        <item x="0"/>
        <item x="2"/>
        <item x="1"/>
        <item x="4"/>
        <item x="3"/>
        <item t="default"/>
      </items>
    </pivotField>
    <pivotField showAll="0"/>
    <pivotField axis="axisCol" showAll="0">
      <items count="4">
        <item x="1"/>
        <item x="2"/>
        <item x="0"/>
        <item t="default"/>
      </items>
    </pivotField>
    <pivotField showAll="0"/>
    <pivotField showAll="0"/>
    <pivotField showAll="0"/>
    <pivotField showAll="0"/>
    <pivotField dataField="1" showAll="0"/>
    <pivotField showAll="0"/>
    <pivotField showAll="0"/>
    <pivotField showAll="0"/>
    <pivotField showAll="0"/>
    <pivotField showAll="0"/>
    <pivotField showAll="0">
      <items count="10">
        <item x="1"/>
        <item x="5"/>
        <item x="6"/>
        <item x="3"/>
        <item x="4"/>
        <item x="7"/>
        <item x="8"/>
        <item x="0"/>
        <item x="2"/>
        <item t="default"/>
      </items>
    </pivotField>
    <pivotField showAll="0"/>
    <pivotField showAll="0"/>
    <pivotField numFmtId="2" showAll="0"/>
    <pivotField showAll="0"/>
    <pivotField showAll="0"/>
    <pivotField showAll="0"/>
    <pivotField showAll="0"/>
    <pivotField showAll="0"/>
    <pivotField showAll="0"/>
    <pivotField showAll="0"/>
    <pivotField showAll="0"/>
    <pivotField showAll="0"/>
    <pivotField showAll="0"/>
    <pivotField showAll="0"/>
  </pivotFields>
  <rowFields count="1">
    <field x="16"/>
  </rowFields>
  <rowItems count="6">
    <i>
      <x/>
    </i>
    <i>
      <x v="1"/>
    </i>
    <i>
      <x v="2"/>
    </i>
    <i>
      <x v="3"/>
    </i>
    <i>
      <x v="4"/>
    </i>
    <i t="grand">
      <x/>
    </i>
  </rowItems>
  <colFields count="1">
    <field x="18"/>
  </colFields>
  <colItems count="4">
    <i>
      <x/>
    </i>
    <i>
      <x v="1"/>
    </i>
    <i>
      <x v="2"/>
    </i>
    <i t="grand">
      <x/>
    </i>
  </colItems>
  <dataFields count="1">
    <dataField name="Sum of Quantity" fld="2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E07AD1D-8DCD-4CDE-8547-D3A400B4A676}"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9" firstHeaderRow="1" firstDataRow="1" firstDataCol="1"/>
  <pivotFields count="44">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8">
        <item x="6"/>
        <item x="0"/>
        <item x="4"/>
        <item x="2"/>
        <item x="3"/>
        <item x="1"/>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 showAll="0"/>
    <pivotField showAll="0"/>
    <pivotField showAll="0"/>
    <pivotField showAll="0"/>
    <pivotField showAll="0"/>
    <pivotField showAll="0"/>
    <pivotField showAll="0"/>
    <pivotField showAll="0"/>
    <pivotField showAll="0"/>
    <pivotField dataField="1" showAll="0"/>
    <pivotField showAll="0"/>
    <pivotField showAll="0"/>
  </pivotFields>
  <rowFields count="1">
    <field x="12"/>
  </rowFields>
  <rowItems count="8">
    <i>
      <x/>
    </i>
    <i>
      <x v="1"/>
    </i>
    <i>
      <x v="2"/>
    </i>
    <i>
      <x v="3"/>
    </i>
    <i>
      <x v="4"/>
    </i>
    <i>
      <x v="5"/>
    </i>
    <i>
      <x v="6"/>
    </i>
    <i t="grand">
      <x/>
    </i>
  </rowItems>
  <colItems count="1">
    <i/>
  </colItems>
  <dataFields count="1">
    <dataField name="Sum of total net revenue" fld="4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7F2D145-E912-455B-BFE2-F25ACBD0DCA2}" sourceName="Region">
  <pivotTables>
    <pivotTable tabId="2" name="PivotTable2"/>
    <pivotTable tabId="2" name="PivotTable3"/>
    <pivotTable tabId="2" name="PivotTable4"/>
    <pivotTable tabId="2" name="PivotTable5"/>
    <pivotTable tabId="4" name="PivotTable1"/>
    <pivotTable tabId="4" name="PivotTable2"/>
  </pivotTables>
  <data>
    <tabular pivotCacheId="6468411">
      <items count="5">
        <i x="0" s="1"/>
        <i x="2" s="1"/>
        <i x="1" s="1"/>
        <i x="4"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E3BC2449-4A79-4177-9EFF-BB03A10284E5}" sourceName="Segment">
  <pivotTables>
    <pivotTable tabId="2" name="PivotTable2"/>
    <pivotTable tabId="2" name="PivotTable3"/>
    <pivotTable tabId="2" name="PivotTable4"/>
    <pivotTable tabId="2" name="PivotTable5"/>
    <pivotTable tabId="4" name="PivotTable1"/>
    <pivotTable tabId="4" name="PivotTable2"/>
  </pivotTables>
  <data>
    <tabular pivotCacheId="646841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ean_payment_mode" xr10:uid="{D37C5D26-6FE2-460C-A2BA-392E3197B06C}" sourceName="clean payment_mode">
  <pivotTables>
    <pivotTable tabId="2" name="PivotTable2"/>
    <pivotTable tabId="2" name="PivotTable3"/>
    <pivotTable tabId="2" name="PivotTable4"/>
    <pivotTable tabId="2" name="PivotTable5"/>
    <pivotTable tabId="4" name="PivotTable1"/>
    <pivotTable tabId="4" name="PivotTable2"/>
  </pivotTables>
  <data>
    <tabular pivotCacheId="6468411">
      <items count="9">
        <i x="1" s="1"/>
        <i x="5" s="1"/>
        <i x="6" s="1"/>
        <i x="3" s="1"/>
        <i x="4" s="1"/>
        <i x="7" s="1"/>
        <i x="8"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B1B211D-AA42-4AED-AC2C-C90D5ADC04D7}" cache="Slicer_Region" caption="Region" rowHeight="234950"/>
  <slicer name="Segment" xr10:uid="{59749ACF-2377-4409-9245-1BCA561DD29A}" cache="Slicer_Segment" caption="Segment" rowHeight="234950"/>
  <slicer name="clean payment_mode" xr10:uid="{8942815B-B861-4C6D-B0AE-1F47886DB0C4}" cache="Slicer_clean_payment_mode" caption="clean payment_mod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623939B-A6A5-41C8-ADE6-192379C676C3}" name="Table1" displayName="Table1" ref="A1:AR101" totalsRowShown="0" headerRowDxfId="23" headerRowBorderDxfId="22" tableBorderDxfId="21">
  <autoFilter ref="A1:AR101" xr:uid="{2623939B-A6A5-41C8-ADE6-192379C676C3}"/>
  <tableColumns count="44">
    <tableColumn id="1" xr3:uid="{68D43689-288E-4123-9C80-C1424988CDD8}" name="Row ID"/>
    <tableColumn id="2" xr3:uid="{127B369A-5AEE-4AFA-8C18-896C5053588F}" name="Order ID"/>
    <tableColumn id="30" xr3:uid="{3313B1A3-C5D1-481A-BA89-E22E80D13ECC}" name="Order day" dataDxfId="20">
      <calculatedColumnFormula>TEXT(Table1[[#This Row],[Order Date]],"dddd")</calculatedColumnFormula>
    </tableColumn>
    <tableColumn id="29" xr3:uid="{3557D5D1-2AD2-4E7A-8F5A-D6AF697EBBBB}" name="Order month" dataDxfId="19">
      <calculatedColumnFormula>TEXT(Table1[[#This Row],[Order Date]],"mmm")</calculatedColumnFormula>
    </tableColumn>
    <tableColumn id="3" xr3:uid="{7B002739-6892-41F7-BABB-6EA4B20A8972}" name="Order Date" dataDxfId="18"/>
    <tableColumn id="4" xr3:uid="{5B2BD60E-7557-4E6C-8BC4-4D0BEFF16BC3}" name="Ship Date" dataDxfId="17"/>
    <tableColumn id="5" xr3:uid="{6CCD6E7F-E2BA-41B1-B805-FBAC6D65628A}" name="Ship Mode"/>
    <tableColumn id="6" xr3:uid="{74FB0CC4-AC90-4359-89BD-301926EF2435}" name="customer ID"/>
    <tableColumn id="26" xr3:uid="{90DF1D0D-1E8E-433D-9A08-F1B57DCCCC78}" name="Column1" dataDxfId="16">
      <calculatedColumnFormula>PROPER(TRIM(Table1[[#This Row],[Customer Name]]))</calculatedColumnFormula>
    </tableColumn>
    <tableColumn id="7" xr3:uid="{35042E36-6B91-4F33-8A2D-FD2739BDDA5E}" name="Customer Name"/>
    <tableColumn id="8" xr3:uid="{83BDD1F8-3797-43CC-ADCB-A5F45D53B382}" name="Segment"/>
    <tableColumn id="9" xr3:uid="{4C066E27-A1B2-48D8-A912-6CA72389D891}" name="City"/>
    <tableColumn id="10" xr3:uid="{EFBF70BF-0D86-4971-9D08-94E316129991}" name="State"/>
    <tableColumn id="11" xr3:uid="{4B4CA40E-BCB6-4751-8EC9-783C474FFDF5}" name="Country"/>
    <tableColumn id="12" xr3:uid="{A07ABC2C-FFEF-42C6-8025-EC4E4AEF2873}" name="Postal Code"/>
    <tableColumn id="13" xr3:uid="{05FB937B-99B4-490E-9DE4-0DF06C8A0CCE}" name="Market"/>
    <tableColumn id="14" xr3:uid="{6C9009A4-FF20-4CE1-8565-12005235046A}" name="Region"/>
    <tableColumn id="15" xr3:uid="{E572E1A4-F914-4243-96D4-2601688FE5ED}" name="Product ID"/>
    <tableColumn id="31" xr3:uid="{2A0A432B-3846-4F6A-B644-07415C8CFFE0}" name="extract_cat" dataDxfId="15">
      <calculatedColumnFormula>LEFT(U2,3)</calculatedColumnFormula>
    </tableColumn>
    <tableColumn id="33" xr3:uid="{A62BF9DF-AA5E-47E4-88AA-C96320CDA9D5}" name="extract sub cat" dataDxfId="14">
      <calculatedColumnFormula>RIGHT(U2,LEN(U2)-4)</calculatedColumnFormula>
    </tableColumn>
    <tableColumn id="16" xr3:uid="{C3617995-856E-4DB5-84B5-D1F06902402B}" name="Category_Encoded"/>
    <tableColumn id="17" xr3:uid="{AE3DC613-15BA-4710-AEDE-182F769329F4}" name="Product Name"/>
    <tableColumn id="18" xr3:uid="{62813980-1CE1-4BEE-951C-36FCBC407A1A}" name="Unit_Price"/>
    <tableColumn id="19" xr3:uid="{7A3AA681-9C1C-498F-A0A0-81E13D71DF9B}" name="Quantity"/>
    <tableColumn id="20" xr3:uid="{D651AFB4-88F5-467A-9CE7-24E14EFB6E31}" name="Discount_Percentage"/>
    <tableColumn id="21" xr3:uid="{BD80BAD4-8D28-4ED8-BAEC-05EFBC12A232}" name="Profit"/>
    <tableColumn id="22" xr3:uid="{0A1B3249-8149-4763-A281-F1C7A35F5E00}" name="Shipping Cost"/>
    <tableColumn id="23" xr3:uid="{912B8E96-D4AF-4768-89B7-CEE7ED7A1F0D}" name="Order Priority"/>
    <tableColumn id="24" xr3:uid="{C3A6B069-0EFC-43E5-AE75-60ADAA9C9DF8}" name="Year"/>
    <tableColumn id="28" xr3:uid="{F18B533C-836C-483D-B681-2C398CF509FC}" name="clean payment_mode" dataDxfId="13">
      <calculatedColumnFormula>IF(LOWER(TRIM(AE2))="upi","UPI",IF(LOWER(TRIM(AE2))="debit card","Debit Card",IF(LOWER(TRIM(AE2))="cash","Cash/Cheque",TRIM(AE2))))</calculatedColumnFormula>
    </tableColumn>
    <tableColumn id="25" xr3:uid="{15A42CE4-CCF0-4038-A83D-546FFDFCD657}" name="Payment_Mode"/>
    <tableColumn id="27" xr3:uid="{DCF9E302-24F5-4E6F-8169-24F8B6C80D9C}" name="Total transaction count" dataDxfId="12">
      <calculatedColumnFormula>COUNTA(B2:B102)</calculatedColumnFormula>
    </tableColumn>
    <tableColumn id="34" xr3:uid="{1BE679A5-A1F3-4665-B640-98ED5F7B1293}" name="average unit price" dataDxfId="11">
      <calculatedColumnFormula>AVERAGE(W2:W102)</calculatedColumnFormula>
    </tableColumn>
    <tableColumn id="35" xr3:uid="{383AD1E0-AC83-4366-988F-535FB52296F9}" name="total quantity sold" dataDxfId="10">
      <calculatedColumnFormula>SUM(X2:X102)</calculatedColumnFormula>
    </tableColumn>
    <tableColumn id="36" xr3:uid="{FBD21348-7995-40FC-8321-F98DAA707C0B}" name="average profit margin" dataDxfId="9">
      <calculatedColumnFormula>AVERAGE(Z2:Z102)</calculatedColumnFormula>
    </tableColumn>
    <tableColumn id="37" xr3:uid="{E070A821-E4CE-4EB4-A808-5F1881F635BF}" name="maximum shipping cost" dataDxfId="8">
      <calculatedColumnFormula>MAX(AA2:AA102)</calculatedColumnFormula>
    </tableColumn>
    <tableColumn id="38" xr3:uid="{657D00EB-79BC-44D5-8754-C3CF4FFEE13E}" name="minimum shipping cost" dataDxfId="7">
      <calculatedColumnFormula>MIN(AA2:AA102)</calculatedColumnFormula>
    </tableColumn>
    <tableColumn id="39" xr3:uid="{2BC4CE88-6A0C-47AA-BC8E-D8492AE67EB3}" name="payment mode count" dataDxfId="6">
      <calculatedColumnFormula>COUNTIF(AD2:AD102,"UPI")</calculatedColumnFormula>
    </tableColumn>
    <tableColumn id="40" xr3:uid="{832930FF-3B5D-466F-BE98-478337E93AD1}" name="high value sales" dataDxfId="5">
      <calculatedColumnFormula>SUMIF(W2:W102,"&gt;10000",X2:X102)</calculatedColumnFormula>
    </tableColumn>
    <tableColumn id="41" xr3:uid="{28FAC1E6-6804-43CD-81C9-4F4F3798562F}" name="gross revenue" dataDxfId="4">
      <calculatedColumnFormula>W2*X2</calculatedColumnFormula>
    </tableColumn>
    <tableColumn id="42" xr3:uid="{6BC7DD5E-ECFC-415B-8B9D-D7FED978658C}" name="total discount amount" dataDxfId="3">
      <calculatedColumnFormula>AN2*Y2/100</calculatedColumnFormula>
    </tableColumn>
    <tableColumn id="43" xr3:uid="{7E2973C7-94B4-4D1E-AF66-BC23E664B9D1}" name="total net revenue" dataDxfId="2">
      <calculatedColumnFormula>AN2-AO2</calculatedColumnFormula>
    </tableColumn>
    <tableColumn id="44" xr3:uid="{D1BE8F2A-ECE6-47AA-854F-49BA8151B152}" name="total order cost" dataDxfId="1">
      <calculatedColumnFormula>AP2+AA2</calculatedColumnFormula>
    </tableColumn>
    <tableColumn id="45" xr3:uid="{1F02E59D-443F-4E7E-A689-347DA5C87A31}" name="order fulfillment duration" dataDxfId="0">
      <calculatedColumnFormula>F2-E2</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2B7B0E-7879-4698-9BCE-42FDE87AA4DD}">
  <dimension ref="A3:B29"/>
  <sheetViews>
    <sheetView topLeftCell="A13" workbookViewId="0">
      <selection activeCell="K27" sqref="K27"/>
    </sheetView>
  </sheetViews>
  <sheetFormatPr defaultRowHeight="14.4" x14ac:dyDescent="0.3"/>
  <cols>
    <col min="1" max="1" width="12.5546875" bestFit="1" customWidth="1"/>
    <col min="2" max="2" width="15.33203125" bestFit="1" customWidth="1"/>
  </cols>
  <sheetData>
    <row r="3" spans="1:2" x14ac:dyDescent="0.3">
      <c r="A3" s="8" t="s">
        <v>669</v>
      </c>
      <c r="B3" t="s">
        <v>683</v>
      </c>
    </row>
    <row r="4" spans="1:2" x14ac:dyDescent="0.3">
      <c r="A4" s="9" t="s">
        <v>680</v>
      </c>
      <c r="B4">
        <v>159</v>
      </c>
    </row>
    <row r="5" spans="1:2" x14ac:dyDescent="0.3">
      <c r="A5" s="9" t="s">
        <v>681</v>
      </c>
      <c r="B5">
        <v>203</v>
      </c>
    </row>
    <row r="6" spans="1:2" x14ac:dyDescent="0.3">
      <c r="A6" s="9" t="s">
        <v>682</v>
      </c>
      <c r="B6">
        <v>256</v>
      </c>
    </row>
    <row r="7" spans="1:2" x14ac:dyDescent="0.3">
      <c r="A7" s="9" t="s">
        <v>670</v>
      </c>
      <c r="B7">
        <v>618</v>
      </c>
    </row>
    <row r="23" spans="1:2" x14ac:dyDescent="0.3">
      <c r="A23" s="8" t="s">
        <v>669</v>
      </c>
      <c r="B23" t="s">
        <v>699</v>
      </c>
    </row>
    <row r="24" spans="1:2" x14ac:dyDescent="0.3">
      <c r="A24" s="9" t="s">
        <v>509</v>
      </c>
      <c r="B24">
        <v>17.821363636363635</v>
      </c>
    </row>
    <row r="25" spans="1:2" x14ac:dyDescent="0.3">
      <c r="A25" s="9" t="s">
        <v>511</v>
      </c>
      <c r="B25">
        <v>8.0326666666666675</v>
      </c>
    </row>
    <row r="26" spans="1:2" x14ac:dyDescent="0.3">
      <c r="A26" s="9" t="s">
        <v>510</v>
      </c>
      <c r="B26">
        <v>16.387500000000003</v>
      </c>
    </row>
    <row r="27" spans="1:2" x14ac:dyDescent="0.3">
      <c r="A27" s="9" t="s">
        <v>513</v>
      </c>
      <c r="B27">
        <v>21.234210526315792</v>
      </c>
    </row>
    <row r="28" spans="1:2" x14ac:dyDescent="0.3">
      <c r="A28" s="9" t="s">
        <v>512</v>
      </c>
      <c r="B28">
        <v>18.557916666666671</v>
      </c>
    </row>
    <row r="29" spans="1:2" x14ac:dyDescent="0.3">
      <c r="A29" s="9" t="s">
        <v>670</v>
      </c>
      <c r="B29">
        <v>16.891499999999994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01"/>
  <sheetViews>
    <sheetView workbookViewId="0">
      <selection activeCell="T1" sqref="T1"/>
    </sheetView>
  </sheetViews>
  <sheetFormatPr defaultRowHeight="14.4" x14ac:dyDescent="0.3"/>
  <cols>
    <col min="2" max="3" width="15.5546875" customWidth="1"/>
    <col min="4" max="4" width="9.88671875" customWidth="1"/>
    <col min="5" max="5" width="12" style="5" customWidth="1"/>
    <col min="6" max="6" width="10.88671875" style="3" customWidth="1"/>
    <col min="7" max="7" width="12" customWidth="1"/>
    <col min="8" max="9" width="13" customWidth="1"/>
    <col min="10" max="10" width="16.44140625" customWidth="1"/>
    <col min="11" max="11" width="10.33203125" customWidth="1"/>
    <col min="14" max="14" width="9.6640625" customWidth="1"/>
    <col min="15" max="15" width="12.77734375" customWidth="1"/>
    <col min="16" max="16" width="9" customWidth="1"/>
    <col min="18" max="20" width="11.77734375" customWidth="1"/>
    <col min="21" max="21" width="18.77734375" customWidth="1"/>
    <col min="22" max="22" width="15" customWidth="1"/>
    <col min="23" max="23" width="11.5546875" customWidth="1"/>
    <col min="24" max="24" width="10.21875" customWidth="1"/>
    <col min="25" max="25" width="20.6640625" customWidth="1"/>
    <col min="27" max="27" width="14.33203125" customWidth="1"/>
    <col min="28" max="28" width="14.21875" customWidth="1"/>
    <col min="30" max="30" width="12.77734375" customWidth="1"/>
    <col min="31" max="31" width="16.44140625" customWidth="1"/>
    <col min="39" max="39" width="12.88671875" bestFit="1" customWidth="1"/>
    <col min="42" max="42" width="12.88671875" bestFit="1" customWidth="1"/>
  </cols>
  <sheetData>
    <row r="1" spans="1:44" x14ac:dyDescent="0.3">
      <c r="A1" s="1" t="s">
        <v>0</v>
      </c>
      <c r="B1" s="1" t="s">
        <v>1</v>
      </c>
      <c r="C1" s="1" t="s">
        <v>654</v>
      </c>
      <c r="D1" s="1" t="s">
        <v>653</v>
      </c>
      <c r="E1" s="4" t="s">
        <v>2</v>
      </c>
      <c r="F1" s="2" t="s">
        <v>3</v>
      </c>
      <c r="G1" s="1" t="s">
        <v>4</v>
      </c>
      <c r="H1" s="1" t="s">
        <v>5</v>
      </c>
      <c r="I1" s="1" t="s">
        <v>651</v>
      </c>
      <c r="J1" s="1" t="s">
        <v>6</v>
      </c>
      <c r="K1" s="1" t="s">
        <v>7</v>
      </c>
      <c r="L1" s="1" t="s">
        <v>8</v>
      </c>
      <c r="M1" s="1" t="s">
        <v>9</v>
      </c>
      <c r="N1" s="1" t="s">
        <v>10</v>
      </c>
      <c r="O1" s="1" t="s">
        <v>11</v>
      </c>
      <c r="P1" s="1" t="s">
        <v>12</v>
      </c>
      <c r="Q1" s="1" t="s">
        <v>13</v>
      </c>
      <c r="R1" s="1" t="s">
        <v>14</v>
      </c>
      <c r="S1" s="1" t="s">
        <v>655</v>
      </c>
      <c r="T1" s="1" t="s">
        <v>671</v>
      </c>
      <c r="U1" s="1" t="s">
        <v>15</v>
      </c>
      <c r="V1" s="1" t="s">
        <v>16</v>
      </c>
      <c r="W1" s="1" t="s">
        <v>17</v>
      </c>
      <c r="X1" s="1" t="s">
        <v>18</v>
      </c>
      <c r="Y1" s="1" t="s">
        <v>19</v>
      </c>
      <c r="Z1" s="1" t="s">
        <v>20</v>
      </c>
      <c r="AA1" s="1" t="s">
        <v>21</v>
      </c>
      <c r="AB1" s="1" t="s">
        <v>22</v>
      </c>
      <c r="AC1" s="1" t="s">
        <v>23</v>
      </c>
      <c r="AD1" s="1" t="s">
        <v>652</v>
      </c>
      <c r="AE1" s="1" t="s">
        <v>24</v>
      </c>
      <c r="AF1" s="1" t="s">
        <v>656</v>
      </c>
      <c r="AG1" s="1" t="s">
        <v>672</v>
      </c>
      <c r="AH1" s="1" t="s">
        <v>673</v>
      </c>
      <c r="AI1" s="1" t="s">
        <v>674</v>
      </c>
      <c r="AJ1" s="1" t="s">
        <v>675</v>
      </c>
      <c r="AK1" s="1" t="s">
        <v>676</v>
      </c>
      <c r="AL1" s="1" t="s">
        <v>662</v>
      </c>
      <c r="AM1" s="1" t="s">
        <v>663</v>
      </c>
      <c r="AN1" s="1" t="s">
        <v>664</v>
      </c>
      <c r="AO1" s="1" t="s">
        <v>665</v>
      </c>
      <c r="AP1" s="1" t="s">
        <v>666</v>
      </c>
      <c r="AQ1" s="1" t="s">
        <v>667</v>
      </c>
      <c r="AR1" s="1" t="s">
        <v>668</v>
      </c>
    </row>
    <row r="2" spans="1:44" x14ac:dyDescent="0.3">
      <c r="A2">
        <v>1</v>
      </c>
      <c r="B2" t="s">
        <v>25</v>
      </c>
      <c r="C2" t="str">
        <f>TEXT(Table1[[#This Row],[Order Date]],"dddd")</f>
        <v>Wednesday</v>
      </c>
      <c r="D2" t="str">
        <f>TEXT(Table1[[#This Row],[Order Date]],"mmm")</f>
        <v>Jan</v>
      </c>
      <c r="E2" s="3" t="s">
        <v>125</v>
      </c>
      <c r="F2" s="3" t="s">
        <v>225</v>
      </c>
      <c r="G2" t="s">
        <v>309</v>
      </c>
      <c r="H2" t="s">
        <v>313</v>
      </c>
      <c r="I2" t="str">
        <f>PROPER(TRIM(Table1[[#This Row],[Customer Name]]))</f>
        <v>Arjun Jain</v>
      </c>
      <c r="J2" t="s">
        <v>413</v>
      </c>
      <c r="K2" t="s">
        <v>490</v>
      </c>
      <c r="L2" t="s">
        <v>493</v>
      </c>
      <c r="M2" t="s">
        <v>501</v>
      </c>
      <c r="N2" t="s">
        <v>507</v>
      </c>
      <c r="O2">
        <v>619799</v>
      </c>
      <c r="P2" t="s">
        <v>508</v>
      </c>
      <c r="Q2" t="s">
        <v>509</v>
      </c>
      <c r="R2" t="s">
        <v>514</v>
      </c>
      <c r="S2" t="str">
        <f t="shared" ref="S2:S33" si="0">LEFT(U2,3)</f>
        <v>TEC</v>
      </c>
      <c r="T2" t="str">
        <f t="shared" ref="T2:T33" si="1">RIGHT(U2,LEN(U2)-4)</f>
        <v>:MON</v>
      </c>
      <c r="U2" t="s">
        <v>614</v>
      </c>
      <c r="V2" t="s">
        <v>627</v>
      </c>
      <c r="W2">
        <v>6790.64</v>
      </c>
      <c r="X2">
        <v>11</v>
      </c>
      <c r="Y2">
        <v>5</v>
      </c>
      <c r="Z2">
        <v>1.22</v>
      </c>
      <c r="AA2">
        <v>3516.98</v>
      </c>
      <c r="AB2" t="s">
        <v>635</v>
      </c>
      <c r="AC2">
        <v>2025</v>
      </c>
      <c r="AD2" t="str">
        <f t="shared" ref="AD2:AD33" si="2">IF(LOWER(TRIM(AE2))="upi","UPI",IF(LOWER(TRIM(AE2))="debit card","Debit Card",IF(LOWER(TRIM(AE2))="cash","Cash/Cheque",TRIM(AE2))))</f>
        <v>Net Banking</v>
      </c>
      <c r="AE2" t="s">
        <v>639</v>
      </c>
      <c r="AF2">
        <f t="shared" ref="AF2:AF33" si="3">COUNTA(B2:B102)</f>
        <v>100</v>
      </c>
      <c r="AG2" s="6">
        <f t="shared" ref="AG2:AG33" si="4">AVERAGE(W2:W102)</f>
        <v>11890.245599999998</v>
      </c>
      <c r="AH2">
        <f t="shared" ref="AH2:AH33" si="5">SUM(X2:X102)</f>
        <v>618</v>
      </c>
      <c r="AI2">
        <f t="shared" ref="AI2:AI33" si="6">AVERAGE(Z2:Z102)</f>
        <v>16.891499999999997</v>
      </c>
      <c r="AJ2">
        <f t="shared" ref="AJ2:AJ33" si="7">MAX(AA2:AA102)</f>
        <v>41691.120000000003</v>
      </c>
      <c r="AK2">
        <f t="shared" ref="AK2:AK33" si="8">MIN(AA2:AA102)</f>
        <v>29.86</v>
      </c>
      <c r="AL2">
        <f t="shared" ref="AL2:AL33" si="9">COUNTIF(AD2:AD102,"UPI")</f>
        <v>8</v>
      </c>
      <c r="AM2">
        <f t="shared" ref="AM2:AM33" si="10">SUMIF(W2:W102,"&gt;10000",X2:X102)</f>
        <v>219</v>
      </c>
      <c r="AN2">
        <f t="shared" ref="AN2:AN33" si="11">W2*X2</f>
        <v>74697.040000000008</v>
      </c>
      <c r="AO2">
        <f t="shared" ref="AO2:AO33" si="12">AN2*Y2/100</f>
        <v>3734.8520000000008</v>
      </c>
      <c r="AP2">
        <f t="shared" ref="AP2:AP33" si="13">AN2-AO2</f>
        <v>70962.188000000009</v>
      </c>
      <c r="AQ2">
        <f t="shared" ref="AQ2:AQ33" si="14">AP2+AA2</f>
        <v>74479.168000000005</v>
      </c>
      <c r="AR2">
        <f t="shared" ref="AR2:AR33" si="15">F2-E2</f>
        <v>6</v>
      </c>
    </row>
    <row r="3" spans="1:44" x14ac:dyDescent="0.3">
      <c r="A3">
        <v>2</v>
      </c>
      <c r="B3" t="s">
        <v>26</v>
      </c>
      <c r="C3" t="str">
        <f>TEXT(Table1[[#This Row],[Order Date]],"dddd")</f>
        <v>Saturday</v>
      </c>
      <c r="D3" t="str">
        <f>TEXT(Table1[[#This Row],[Order Date]],"mmm")</f>
        <v>Jan</v>
      </c>
      <c r="E3" s="5" t="s">
        <v>126</v>
      </c>
      <c r="F3" s="3" t="s">
        <v>226</v>
      </c>
      <c r="G3" t="s">
        <v>310</v>
      </c>
      <c r="H3" t="s">
        <v>314</v>
      </c>
      <c r="I3" t="str">
        <f>PROPER(TRIM(Table1[[#This Row],[Customer Name]]))</f>
        <v>Aditya Mehta</v>
      </c>
      <c r="J3" t="s">
        <v>414</v>
      </c>
      <c r="K3" t="s">
        <v>491</v>
      </c>
      <c r="L3" t="s">
        <v>494</v>
      </c>
      <c r="M3" t="s">
        <v>502</v>
      </c>
      <c r="N3" t="s">
        <v>507</v>
      </c>
      <c r="O3">
        <v>461477</v>
      </c>
      <c r="P3" t="s">
        <v>508</v>
      </c>
      <c r="Q3" t="s">
        <v>510</v>
      </c>
      <c r="R3" t="s">
        <v>515</v>
      </c>
      <c r="S3" t="str">
        <f t="shared" si="0"/>
        <v>FUR</v>
      </c>
      <c r="T3" t="str">
        <f t="shared" si="1"/>
        <v>:CH</v>
      </c>
      <c r="U3" t="s">
        <v>615</v>
      </c>
      <c r="V3" t="s">
        <v>628</v>
      </c>
      <c r="W3">
        <v>613.86</v>
      </c>
      <c r="X3">
        <v>11</v>
      </c>
      <c r="Y3">
        <v>5</v>
      </c>
      <c r="Z3">
        <v>1.19</v>
      </c>
      <c r="AA3">
        <v>201.34</v>
      </c>
      <c r="AB3" t="s">
        <v>635</v>
      </c>
      <c r="AC3">
        <v>2025</v>
      </c>
      <c r="AD3" t="str">
        <f t="shared" si="2"/>
        <v>BNPL</v>
      </c>
      <c r="AE3" t="s">
        <v>640</v>
      </c>
      <c r="AF3">
        <f t="shared" si="3"/>
        <v>99</v>
      </c>
      <c r="AG3" s="6">
        <f t="shared" si="4"/>
        <v>11941.756767676767</v>
      </c>
      <c r="AH3">
        <f t="shared" si="5"/>
        <v>607</v>
      </c>
      <c r="AI3">
        <f t="shared" si="6"/>
        <v>17.04979797979798</v>
      </c>
      <c r="AJ3">
        <f t="shared" si="7"/>
        <v>41691.120000000003</v>
      </c>
      <c r="AK3">
        <f t="shared" si="8"/>
        <v>29.86</v>
      </c>
      <c r="AL3">
        <f t="shared" si="9"/>
        <v>8</v>
      </c>
      <c r="AM3">
        <f t="shared" si="10"/>
        <v>219</v>
      </c>
      <c r="AN3">
        <f t="shared" si="11"/>
        <v>6752.46</v>
      </c>
      <c r="AO3">
        <f t="shared" si="12"/>
        <v>337.62300000000005</v>
      </c>
      <c r="AP3">
        <f t="shared" si="13"/>
        <v>6414.8369999999995</v>
      </c>
      <c r="AQ3">
        <f t="shared" si="14"/>
        <v>6616.1769999999997</v>
      </c>
      <c r="AR3">
        <f t="shared" si="15"/>
        <v>6</v>
      </c>
    </row>
    <row r="4" spans="1:44" x14ac:dyDescent="0.3">
      <c r="A4">
        <v>3</v>
      </c>
      <c r="B4" t="s">
        <v>27</v>
      </c>
      <c r="C4" t="str">
        <f>TEXT(Table1[[#This Row],[Order Date]],"dddd")</f>
        <v>Wednesday</v>
      </c>
      <c r="D4" t="str">
        <f>TEXT(Table1[[#This Row],[Order Date]],"mmm")</f>
        <v>Jan</v>
      </c>
      <c r="E4" s="5" t="s">
        <v>127</v>
      </c>
      <c r="F4" s="3" t="s">
        <v>227</v>
      </c>
      <c r="G4" t="s">
        <v>311</v>
      </c>
      <c r="H4" t="s">
        <v>315</v>
      </c>
      <c r="I4" t="str">
        <f>PROPER(TRIM(Table1[[#This Row],[Customer Name]]))</f>
        <v>Arjun Mehta</v>
      </c>
      <c r="J4" t="s">
        <v>415</v>
      </c>
      <c r="K4" t="s">
        <v>491</v>
      </c>
      <c r="L4" t="s">
        <v>493</v>
      </c>
      <c r="M4" t="s">
        <v>503</v>
      </c>
      <c r="N4" t="s">
        <v>507</v>
      </c>
      <c r="O4">
        <v>706956</v>
      </c>
      <c r="P4" t="s">
        <v>508</v>
      </c>
      <c r="Q4" t="s">
        <v>509</v>
      </c>
      <c r="R4" t="s">
        <v>516</v>
      </c>
      <c r="S4" t="str">
        <f t="shared" si="0"/>
        <v>TEC</v>
      </c>
      <c r="T4" t="str">
        <f t="shared" si="1"/>
        <v>:MSW</v>
      </c>
      <c r="U4" t="s">
        <v>616</v>
      </c>
      <c r="V4" t="s">
        <v>629</v>
      </c>
      <c r="W4">
        <v>42579.67</v>
      </c>
      <c r="X4">
        <v>2</v>
      </c>
      <c r="Y4">
        <v>25</v>
      </c>
      <c r="Z4">
        <v>16.850000000000001</v>
      </c>
      <c r="AA4">
        <v>5764.31</v>
      </c>
      <c r="AB4" t="s">
        <v>635</v>
      </c>
      <c r="AC4">
        <v>2025</v>
      </c>
      <c r="AD4" t="str">
        <f t="shared" si="2"/>
        <v>UPI</v>
      </c>
      <c r="AE4" t="s">
        <v>641</v>
      </c>
      <c r="AF4">
        <f t="shared" si="3"/>
        <v>98</v>
      </c>
      <c r="AG4" s="6">
        <f t="shared" si="4"/>
        <v>12057.347551020406</v>
      </c>
      <c r="AH4">
        <f t="shared" si="5"/>
        <v>596</v>
      </c>
      <c r="AI4">
        <f t="shared" si="6"/>
        <v>17.211632653061223</v>
      </c>
      <c r="AJ4">
        <f t="shared" si="7"/>
        <v>41691.120000000003</v>
      </c>
      <c r="AK4">
        <f t="shared" si="8"/>
        <v>29.86</v>
      </c>
      <c r="AL4">
        <f t="shared" si="9"/>
        <v>8</v>
      </c>
      <c r="AM4">
        <f t="shared" si="10"/>
        <v>219</v>
      </c>
      <c r="AN4">
        <f t="shared" si="11"/>
        <v>85159.34</v>
      </c>
      <c r="AO4">
        <f t="shared" si="12"/>
        <v>21289.834999999999</v>
      </c>
      <c r="AP4">
        <f t="shared" si="13"/>
        <v>63869.504999999997</v>
      </c>
      <c r="AQ4">
        <f t="shared" si="14"/>
        <v>69633.815000000002</v>
      </c>
      <c r="AR4">
        <f t="shared" si="15"/>
        <v>6</v>
      </c>
    </row>
    <row r="5" spans="1:44" x14ac:dyDescent="0.3">
      <c r="A5">
        <v>4</v>
      </c>
      <c r="B5" t="s">
        <v>28</v>
      </c>
      <c r="C5" t="str">
        <f>TEXT(Table1[[#This Row],[Order Date]],"dddd")</f>
        <v>Sunday</v>
      </c>
      <c r="D5" t="str">
        <f>TEXT(Table1[[#This Row],[Order Date]],"mmm")</f>
        <v>Jan</v>
      </c>
      <c r="E5" s="5" t="s">
        <v>128</v>
      </c>
      <c r="F5" s="3" t="s">
        <v>228</v>
      </c>
      <c r="G5" t="s">
        <v>312</v>
      </c>
      <c r="H5" t="s">
        <v>316</v>
      </c>
      <c r="I5" t="str">
        <f>PROPER(TRIM(Table1[[#This Row],[Customer Name]]))</f>
        <v>Arjun Nair</v>
      </c>
      <c r="J5" t="s">
        <v>416</v>
      </c>
      <c r="K5" t="s">
        <v>491</v>
      </c>
      <c r="L5" t="s">
        <v>495</v>
      </c>
      <c r="M5" t="s">
        <v>501</v>
      </c>
      <c r="N5" t="s">
        <v>507</v>
      </c>
      <c r="O5">
        <v>567281</v>
      </c>
      <c r="P5" t="s">
        <v>508</v>
      </c>
      <c r="Q5" t="s">
        <v>511</v>
      </c>
      <c r="R5" t="s">
        <v>517</v>
      </c>
      <c r="S5" t="str">
        <f t="shared" si="0"/>
        <v>FUR</v>
      </c>
      <c r="T5" t="str">
        <f t="shared" si="1"/>
        <v>:CH</v>
      </c>
      <c r="U5" t="s">
        <v>615</v>
      </c>
      <c r="V5" t="s">
        <v>630</v>
      </c>
      <c r="W5">
        <v>1241.25</v>
      </c>
      <c r="X5">
        <v>9</v>
      </c>
      <c r="Y5">
        <v>10</v>
      </c>
      <c r="Z5">
        <v>19.649999999999999</v>
      </c>
      <c r="AA5">
        <v>688.38</v>
      </c>
      <c r="AB5" t="s">
        <v>636</v>
      </c>
      <c r="AC5">
        <v>2025</v>
      </c>
      <c r="AD5" t="str">
        <f t="shared" si="2"/>
        <v>Credit-Card</v>
      </c>
      <c r="AE5" t="s">
        <v>642</v>
      </c>
      <c r="AF5">
        <f t="shared" si="3"/>
        <v>97</v>
      </c>
      <c r="AG5" s="6">
        <f t="shared" si="4"/>
        <v>11742.684432989692</v>
      </c>
      <c r="AH5">
        <f t="shared" si="5"/>
        <v>594</v>
      </c>
      <c r="AI5">
        <f t="shared" si="6"/>
        <v>17.215360824742266</v>
      </c>
      <c r="AJ5">
        <f t="shared" si="7"/>
        <v>41691.120000000003</v>
      </c>
      <c r="AK5">
        <f t="shared" si="8"/>
        <v>29.86</v>
      </c>
      <c r="AL5">
        <f t="shared" si="9"/>
        <v>7</v>
      </c>
      <c r="AM5">
        <f t="shared" si="10"/>
        <v>217</v>
      </c>
      <c r="AN5">
        <f t="shared" si="11"/>
        <v>11171.25</v>
      </c>
      <c r="AO5">
        <f t="shared" si="12"/>
        <v>1117.125</v>
      </c>
      <c r="AP5">
        <f t="shared" si="13"/>
        <v>10054.125</v>
      </c>
      <c r="AQ5">
        <f t="shared" si="14"/>
        <v>10742.504999999999</v>
      </c>
      <c r="AR5">
        <f t="shared" si="15"/>
        <v>5</v>
      </c>
    </row>
    <row r="6" spans="1:44" x14ac:dyDescent="0.3">
      <c r="A6">
        <v>5</v>
      </c>
      <c r="B6" t="s">
        <v>29</v>
      </c>
      <c r="C6" t="str">
        <f>TEXT(Table1[[#This Row],[Order Date]],"dddd")</f>
        <v>Wednesday</v>
      </c>
      <c r="D6" t="str">
        <f>TEXT(Table1[[#This Row],[Order Date]],"mmm")</f>
        <v>Jan</v>
      </c>
      <c r="E6" s="5" t="s">
        <v>129</v>
      </c>
      <c r="F6" s="3" t="s">
        <v>229</v>
      </c>
      <c r="G6" t="s">
        <v>309</v>
      </c>
      <c r="H6" t="s">
        <v>317</v>
      </c>
      <c r="I6" t="str">
        <f>PROPER(TRIM(Table1[[#This Row],[Customer Name]]))</f>
        <v>Ishaan Gupta</v>
      </c>
      <c r="J6" t="s">
        <v>417</v>
      </c>
      <c r="K6" t="s">
        <v>490</v>
      </c>
      <c r="L6" t="s">
        <v>493</v>
      </c>
      <c r="M6" t="s">
        <v>502</v>
      </c>
      <c r="N6" t="s">
        <v>507</v>
      </c>
      <c r="O6">
        <v>551223</v>
      </c>
      <c r="P6" t="s">
        <v>508</v>
      </c>
      <c r="Q6" t="s">
        <v>512</v>
      </c>
      <c r="R6" t="s">
        <v>518</v>
      </c>
      <c r="S6" t="str">
        <f t="shared" si="0"/>
        <v>FUR</v>
      </c>
      <c r="T6" t="str">
        <f t="shared" si="1"/>
        <v>:CH</v>
      </c>
      <c r="U6" t="s">
        <v>615</v>
      </c>
      <c r="V6" t="s">
        <v>628</v>
      </c>
      <c r="W6">
        <v>587.55999999999995</v>
      </c>
      <c r="X6">
        <v>10</v>
      </c>
      <c r="Y6">
        <v>20</v>
      </c>
      <c r="Z6">
        <v>19</v>
      </c>
      <c r="AA6">
        <v>195.34</v>
      </c>
      <c r="AB6" t="s">
        <v>636</v>
      </c>
      <c r="AC6">
        <v>2025</v>
      </c>
      <c r="AD6" t="str">
        <f t="shared" si="2"/>
        <v>Debit Card</v>
      </c>
      <c r="AE6" t="s">
        <v>643</v>
      </c>
      <c r="AF6">
        <f t="shared" si="3"/>
        <v>96</v>
      </c>
      <c r="AG6" s="6">
        <f t="shared" si="4"/>
        <v>11852.074375000002</v>
      </c>
      <c r="AH6">
        <f t="shared" si="5"/>
        <v>585</v>
      </c>
      <c r="AI6">
        <f t="shared" si="6"/>
        <v>17.189999999999998</v>
      </c>
      <c r="AJ6">
        <f t="shared" si="7"/>
        <v>41691.120000000003</v>
      </c>
      <c r="AK6">
        <f t="shared" si="8"/>
        <v>29.86</v>
      </c>
      <c r="AL6">
        <f t="shared" si="9"/>
        <v>7</v>
      </c>
      <c r="AM6">
        <f t="shared" si="10"/>
        <v>217</v>
      </c>
      <c r="AN6">
        <f t="shared" si="11"/>
        <v>5875.5999999999995</v>
      </c>
      <c r="AO6">
        <f t="shared" si="12"/>
        <v>1175.1199999999999</v>
      </c>
      <c r="AP6">
        <f t="shared" si="13"/>
        <v>4700.4799999999996</v>
      </c>
      <c r="AQ6">
        <f t="shared" si="14"/>
        <v>4895.82</v>
      </c>
      <c r="AR6">
        <f t="shared" si="15"/>
        <v>3</v>
      </c>
    </row>
    <row r="7" spans="1:44" x14ac:dyDescent="0.3">
      <c r="A7">
        <v>6</v>
      </c>
      <c r="B7" t="s">
        <v>30</v>
      </c>
      <c r="C7" t="str">
        <f>TEXT(Table1[[#This Row],[Order Date]],"dddd")</f>
        <v>Sunday</v>
      </c>
      <c r="D7" t="str">
        <f>TEXT(Table1[[#This Row],[Order Date]],"mmm")</f>
        <v>Jan</v>
      </c>
      <c r="E7" s="5" t="s">
        <v>130</v>
      </c>
      <c r="F7" s="3" t="s">
        <v>230</v>
      </c>
      <c r="G7" t="s">
        <v>311</v>
      </c>
      <c r="H7" t="s">
        <v>318</v>
      </c>
      <c r="I7" t="str">
        <f>PROPER(TRIM(Table1[[#This Row],[Customer Name]]))</f>
        <v>Rohan Mehta</v>
      </c>
      <c r="J7" t="s">
        <v>418</v>
      </c>
      <c r="K7" t="s">
        <v>492</v>
      </c>
      <c r="L7" t="s">
        <v>496</v>
      </c>
      <c r="M7" t="s">
        <v>504</v>
      </c>
      <c r="N7" t="s">
        <v>507</v>
      </c>
      <c r="O7">
        <v>471181</v>
      </c>
      <c r="P7" t="s">
        <v>508</v>
      </c>
      <c r="Q7" t="s">
        <v>511</v>
      </c>
      <c r="R7" t="s">
        <v>519</v>
      </c>
      <c r="S7" t="str">
        <f t="shared" si="0"/>
        <v>FUR</v>
      </c>
      <c r="T7" t="str">
        <f t="shared" si="1"/>
        <v>:TBL</v>
      </c>
      <c r="U7" t="s">
        <v>617</v>
      </c>
      <c r="V7" t="s">
        <v>628</v>
      </c>
      <c r="W7">
        <v>598.53</v>
      </c>
      <c r="X7">
        <v>2</v>
      </c>
      <c r="Y7">
        <v>20</v>
      </c>
      <c r="Z7">
        <v>-5.43</v>
      </c>
      <c r="AA7">
        <v>29.86</v>
      </c>
      <c r="AB7" t="s">
        <v>637</v>
      </c>
      <c r="AC7">
        <v>2025</v>
      </c>
      <c r="AD7" t="str">
        <f t="shared" si="2"/>
        <v>Cash/Cheque</v>
      </c>
      <c r="AE7" t="s">
        <v>644</v>
      </c>
      <c r="AF7">
        <f t="shared" si="3"/>
        <v>95</v>
      </c>
      <c r="AG7" s="6">
        <f t="shared" si="4"/>
        <v>11970.648210526317</v>
      </c>
      <c r="AH7">
        <f t="shared" si="5"/>
        <v>575</v>
      </c>
      <c r="AI7">
        <f t="shared" si="6"/>
        <v>17.17094736842105</v>
      </c>
      <c r="AJ7">
        <f t="shared" si="7"/>
        <v>41691.120000000003</v>
      </c>
      <c r="AK7">
        <f t="shared" si="8"/>
        <v>29.86</v>
      </c>
      <c r="AL7">
        <f t="shared" si="9"/>
        <v>7</v>
      </c>
      <c r="AM7" s="6">
        <f t="shared" si="10"/>
        <v>217</v>
      </c>
      <c r="AN7">
        <f t="shared" si="11"/>
        <v>1197.06</v>
      </c>
      <c r="AO7">
        <f t="shared" si="12"/>
        <v>239.41199999999998</v>
      </c>
      <c r="AP7" s="7">
        <f t="shared" si="13"/>
        <v>957.64799999999991</v>
      </c>
      <c r="AQ7">
        <f t="shared" si="14"/>
        <v>987.50799999999992</v>
      </c>
      <c r="AR7">
        <f t="shared" si="15"/>
        <v>6</v>
      </c>
    </row>
    <row r="8" spans="1:44" x14ac:dyDescent="0.3">
      <c r="A8">
        <v>7</v>
      </c>
      <c r="B8" t="s">
        <v>31</v>
      </c>
      <c r="C8" t="str">
        <f>TEXT(Table1[[#This Row],[Order Date]],"dddd")</f>
        <v>Thursday</v>
      </c>
      <c r="D8" t="str">
        <f>TEXT(Table1[[#This Row],[Order Date]],"mmm")</f>
        <v>Jan</v>
      </c>
      <c r="E8" s="5" t="s">
        <v>131</v>
      </c>
      <c r="F8" s="3" t="s">
        <v>132</v>
      </c>
      <c r="G8" t="s">
        <v>310</v>
      </c>
      <c r="H8" t="s">
        <v>319</v>
      </c>
      <c r="I8" t="str">
        <f>PROPER(TRIM(Table1[[#This Row],[Customer Name]]))</f>
        <v>Aarya Iyer</v>
      </c>
      <c r="J8" t="s">
        <v>419</v>
      </c>
      <c r="K8" t="s">
        <v>490</v>
      </c>
      <c r="L8" t="s">
        <v>496</v>
      </c>
      <c r="M8" t="s">
        <v>505</v>
      </c>
      <c r="N8" t="s">
        <v>507</v>
      </c>
      <c r="O8">
        <v>574359</v>
      </c>
      <c r="P8" t="s">
        <v>508</v>
      </c>
      <c r="Q8" t="s">
        <v>513</v>
      </c>
      <c r="R8" t="s">
        <v>520</v>
      </c>
      <c r="S8" t="str">
        <f t="shared" si="0"/>
        <v>FUR</v>
      </c>
      <c r="T8" t="str">
        <f t="shared" si="1"/>
        <v>:TBL</v>
      </c>
      <c r="U8" t="s">
        <v>617</v>
      </c>
      <c r="V8" t="s">
        <v>631</v>
      </c>
      <c r="W8">
        <v>3391.95</v>
      </c>
      <c r="X8">
        <v>5</v>
      </c>
      <c r="Y8">
        <v>5</v>
      </c>
      <c r="Z8">
        <v>33.869999999999997</v>
      </c>
      <c r="AA8">
        <v>1031.6600000000001</v>
      </c>
      <c r="AB8" t="s">
        <v>638</v>
      </c>
      <c r="AC8">
        <v>2025</v>
      </c>
      <c r="AD8" t="str">
        <f t="shared" si="2"/>
        <v>Credit Card</v>
      </c>
      <c r="AE8" t="s">
        <v>645</v>
      </c>
      <c r="AF8">
        <f t="shared" si="3"/>
        <v>94</v>
      </c>
      <c r="AG8" s="6">
        <f t="shared" si="4"/>
        <v>12091.628191489363</v>
      </c>
      <c r="AH8">
        <f t="shared" si="5"/>
        <v>573</v>
      </c>
      <c r="AI8">
        <f t="shared" si="6"/>
        <v>17.411382978723402</v>
      </c>
      <c r="AJ8">
        <f t="shared" si="7"/>
        <v>41691.120000000003</v>
      </c>
      <c r="AK8">
        <f t="shared" si="8"/>
        <v>32.08</v>
      </c>
      <c r="AL8">
        <f t="shared" si="9"/>
        <v>7</v>
      </c>
      <c r="AM8" s="6">
        <f t="shared" si="10"/>
        <v>217</v>
      </c>
      <c r="AN8">
        <f t="shared" si="11"/>
        <v>16959.75</v>
      </c>
      <c r="AO8">
        <f t="shared" si="12"/>
        <v>847.98749999999995</v>
      </c>
      <c r="AP8">
        <f t="shared" si="13"/>
        <v>16111.762500000001</v>
      </c>
      <c r="AQ8">
        <f t="shared" si="14"/>
        <v>17143.422500000001</v>
      </c>
      <c r="AR8">
        <f t="shared" si="15"/>
        <v>3</v>
      </c>
    </row>
    <row r="9" spans="1:44" x14ac:dyDescent="0.3">
      <c r="A9">
        <v>8</v>
      </c>
      <c r="B9" t="s">
        <v>32</v>
      </c>
      <c r="C9" t="str">
        <f>TEXT(Table1[[#This Row],[Order Date]],"dddd")</f>
        <v>Sunday</v>
      </c>
      <c r="D9" t="str">
        <f>TEXT(Table1[[#This Row],[Order Date]],"mmm")</f>
        <v>Jan</v>
      </c>
      <c r="E9" s="5" t="s">
        <v>132</v>
      </c>
      <c r="F9" s="3" t="s">
        <v>231</v>
      </c>
      <c r="G9" t="s">
        <v>311</v>
      </c>
      <c r="H9" t="s">
        <v>320</v>
      </c>
      <c r="I9" t="str">
        <f>PROPER(TRIM(Table1[[#This Row],[Customer Name]]))</f>
        <v>Aarya Sharma</v>
      </c>
      <c r="J9" t="s">
        <v>420</v>
      </c>
      <c r="K9" t="s">
        <v>491</v>
      </c>
      <c r="L9" t="s">
        <v>497</v>
      </c>
      <c r="M9" t="s">
        <v>501</v>
      </c>
      <c r="N9" t="s">
        <v>507</v>
      </c>
      <c r="O9">
        <v>512857</v>
      </c>
      <c r="P9" t="s">
        <v>508</v>
      </c>
      <c r="Q9" t="s">
        <v>510</v>
      </c>
      <c r="R9" t="s">
        <v>521</v>
      </c>
      <c r="S9" t="str">
        <f t="shared" si="0"/>
        <v>TEC</v>
      </c>
      <c r="T9" t="str">
        <f t="shared" si="1"/>
        <v>:MON</v>
      </c>
      <c r="U9" t="s">
        <v>614</v>
      </c>
      <c r="V9" t="s">
        <v>628</v>
      </c>
      <c r="W9">
        <v>608.21</v>
      </c>
      <c r="X9">
        <v>9</v>
      </c>
      <c r="Y9">
        <v>10</v>
      </c>
      <c r="Z9">
        <v>3.28</v>
      </c>
      <c r="AA9">
        <v>324.44</v>
      </c>
      <c r="AB9" t="s">
        <v>636</v>
      </c>
      <c r="AC9">
        <v>2025</v>
      </c>
      <c r="AD9" t="str">
        <f t="shared" si="2"/>
        <v>Gift Cards</v>
      </c>
      <c r="AE9" t="s">
        <v>646</v>
      </c>
      <c r="AF9">
        <f t="shared" si="3"/>
        <v>93</v>
      </c>
      <c r="AG9" s="6">
        <f t="shared" si="4"/>
        <v>12185.17311827957</v>
      </c>
      <c r="AH9">
        <f t="shared" si="5"/>
        <v>568</v>
      </c>
      <c r="AI9">
        <f t="shared" si="6"/>
        <v>17.234408602150534</v>
      </c>
      <c r="AJ9">
        <f t="shared" si="7"/>
        <v>41691.120000000003</v>
      </c>
      <c r="AK9">
        <f t="shared" si="8"/>
        <v>32.08</v>
      </c>
      <c r="AL9">
        <f t="shared" si="9"/>
        <v>7</v>
      </c>
      <c r="AM9">
        <f t="shared" si="10"/>
        <v>217</v>
      </c>
      <c r="AN9">
        <f t="shared" si="11"/>
        <v>5473.89</v>
      </c>
      <c r="AO9">
        <f t="shared" si="12"/>
        <v>547.38900000000001</v>
      </c>
      <c r="AP9">
        <f t="shared" si="13"/>
        <v>4926.5010000000002</v>
      </c>
      <c r="AQ9">
        <f t="shared" si="14"/>
        <v>5250.9409999999998</v>
      </c>
      <c r="AR9">
        <f t="shared" si="15"/>
        <v>3</v>
      </c>
    </row>
    <row r="10" spans="1:44" x14ac:dyDescent="0.3">
      <c r="A10">
        <v>9</v>
      </c>
      <c r="B10" t="s">
        <v>33</v>
      </c>
      <c r="C10" t="str">
        <f>TEXT(Table1[[#This Row],[Order Date]],"dddd")</f>
        <v>Thursday</v>
      </c>
      <c r="D10" t="str">
        <f>TEXT(Table1[[#This Row],[Order Date]],"mmm")</f>
        <v>Jan</v>
      </c>
      <c r="E10" s="5" t="s">
        <v>133</v>
      </c>
      <c r="F10" s="3" t="s">
        <v>232</v>
      </c>
      <c r="G10" t="s">
        <v>310</v>
      </c>
      <c r="H10" t="s">
        <v>321</v>
      </c>
      <c r="I10" t="str">
        <f>PROPER(TRIM(Table1[[#This Row],[Customer Name]]))</f>
        <v>Rahul Malhotra</v>
      </c>
      <c r="J10" t="s">
        <v>421</v>
      </c>
      <c r="K10" t="s">
        <v>490</v>
      </c>
      <c r="L10" t="s">
        <v>498</v>
      </c>
      <c r="M10" t="s">
        <v>506</v>
      </c>
      <c r="N10" t="s">
        <v>507</v>
      </c>
      <c r="O10">
        <v>730595</v>
      </c>
      <c r="P10" t="s">
        <v>508</v>
      </c>
      <c r="Q10" t="s">
        <v>509</v>
      </c>
      <c r="R10" t="s">
        <v>522</v>
      </c>
      <c r="S10" t="str">
        <f t="shared" si="0"/>
        <v>TEC</v>
      </c>
      <c r="T10" t="str">
        <f t="shared" si="1"/>
        <v xml:space="preserve">:ph </v>
      </c>
      <c r="U10" t="s">
        <v>618</v>
      </c>
      <c r="V10" t="s">
        <v>628</v>
      </c>
      <c r="W10">
        <v>669.86</v>
      </c>
      <c r="X10">
        <v>9</v>
      </c>
      <c r="Y10">
        <v>10</v>
      </c>
      <c r="Z10">
        <v>-3.52</v>
      </c>
      <c r="AA10">
        <v>219.42</v>
      </c>
      <c r="AB10" t="s">
        <v>638</v>
      </c>
      <c r="AC10">
        <v>2025</v>
      </c>
      <c r="AD10" t="str">
        <f t="shared" si="2"/>
        <v>Debit Card</v>
      </c>
      <c r="AE10" t="s">
        <v>647</v>
      </c>
      <c r="AF10">
        <f t="shared" si="3"/>
        <v>92</v>
      </c>
      <c r="AG10" s="6">
        <f t="shared" si="4"/>
        <v>12311.009673913044</v>
      </c>
      <c r="AH10">
        <f t="shared" si="5"/>
        <v>559</v>
      </c>
      <c r="AI10">
        <f t="shared" si="6"/>
        <v>17.386086956521741</v>
      </c>
      <c r="AJ10">
        <f t="shared" si="7"/>
        <v>41691.120000000003</v>
      </c>
      <c r="AK10">
        <f t="shared" si="8"/>
        <v>32.08</v>
      </c>
      <c r="AL10">
        <f t="shared" si="9"/>
        <v>7</v>
      </c>
      <c r="AM10">
        <f t="shared" si="10"/>
        <v>217</v>
      </c>
      <c r="AN10">
        <f t="shared" si="11"/>
        <v>6028.74</v>
      </c>
      <c r="AO10">
        <f t="shared" si="12"/>
        <v>602.87399999999991</v>
      </c>
      <c r="AP10" s="6">
        <f t="shared" si="13"/>
        <v>5425.866</v>
      </c>
      <c r="AQ10">
        <f t="shared" si="14"/>
        <v>5645.2860000000001</v>
      </c>
      <c r="AR10">
        <f t="shared" si="15"/>
        <v>2</v>
      </c>
    </row>
    <row r="11" spans="1:44" x14ac:dyDescent="0.3">
      <c r="A11">
        <v>10</v>
      </c>
      <c r="B11" t="s">
        <v>34</v>
      </c>
      <c r="C11" t="str">
        <f>TEXT(Table1[[#This Row],[Order Date]],"dddd")</f>
        <v>Monday</v>
      </c>
      <c r="D11" t="str">
        <f>TEXT(Table1[[#This Row],[Order Date]],"mmm")</f>
        <v>Feb</v>
      </c>
      <c r="E11" s="5" t="s">
        <v>134</v>
      </c>
      <c r="F11" s="3" t="s">
        <v>233</v>
      </c>
      <c r="G11" t="s">
        <v>312</v>
      </c>
      <c r="H11" t="s">
        <v>322</v>
      </c>
      <c r="I11" t="str">
        <f>PROPER(TRIM(Table1[[#This Row],[Customer Name]]))</f>
        <v>Aarav Sharma</v>
      </c>
      <c r="J11" t="s">
        <v>422</v>
      </c>
      <c r="K11" t="s">
        <v>490</v>
      </c>
      <c r="L11" t="s">
        <v>499</v>
      </c>
      <c r="M11" t="s">
        <v>502</v>
      </c>
      <c r="N11" t="s">
        <v>507</v>
      </c>
      <c r="O11">
        <v>586142</v>
      </c>
      <c r="P11" t="s">
        <v>508</v>
      </c>
      <c r="Q11" t="s">
        <v>509</v>
      </c>
      <c r="R11" t="s">
        <v>523</v>
      </c>
      <c r="S11" t="str">
        <f t="shared" si="0"/>
        <v>fur</v>
      </c>
      <c r="T11" t="str">
        <f t="shared" si="1"/>
        <v>:tbl</v>
      </c>
      <c r="U11" t="s">
        <v>619</v>
      </c>
      <c r="V11" t="s">
        <v>632</v>
      </c>
      <c r="W11">
        <v>1421.45</v>
      </c>
      <c r="X11">
        <v>8</v>
      </c>
      <c r="Y11">
        <v>25</v>
      </c>
      <c r="Z11">
        <v>34.44</v>
      </c>
      <c r="AA11">
        <v>876.2</v>
      </c>
      <c r="AB11" t="s">
        <v>637</v>
      </c>
      <c r="AC11">
        <v>2025</v>
      </c>
      <c r="AD11" t="str">
        <f t="shared" si="2"/>
        <v>Gift Cards</v>
      </c>
      <c r="AE11" t="s">
        <v>646</v>
      </c>
      <c r="AF11">
        <f t="shared" si="3"/>
        <v>91</v>
      </c>
      <c r="AG11" s="6">
        <f t="shared" si="4"/>
        <v>12438.934395604396</v>
      </c>
      <c r="AH11">
        <f t="shared" si="5"/>
        <v>550</v>
      </c>
      <c r="AI11">
        <f t="shared" si="6"/>
        <v>17.615824175824176</v>
      </c>
      <c r="AJ11">
        <f t="shared" si="7"/>
        <v>41691.120000000003</v>
      </c>
      <c r="AK11">
        <f t="shared" si="8"/>
        <v>32.08</v>
      </c>
      <c r="AL11">
        <f t="shared" si="9"/>
        <v>7</v>
      </c>
      <c r="AM11">
        <f t="shared" si="10"/>
        <v>217</v>
      </c>
      <c r="AN11">
        <f t="shared" si="11"/>
        <v>11371.6</v>
      </c>
      <c r="AO11">
        <f t="shared" si="12"/>
        <v>2842.9</v>
      </c>
      <c r="AP11">
        <f t="shared" si="13"/>
        <v>8528.7000000000007</v>
      </c>
      <c r="AQ11">
        <f t="shared" si="14"/>
        <v>9404.9000000000015</v>
      </c>
      <c r="AR11">
        <f t="shared" si="15"/>
        <v>5</v>
      </c>
    </row>
    <row r="12" spans="1:44" x14ac:dyDescent="0.3">
      <c r="A12">
        <v>11</v>
      </c>
      <c r="B12" t="s">
        <v>35</v>
      </c>
      <c r="C12" t="str">
        <f>TEXT(Table1[[#This Row],[Order Date]],"dddd")</f>
        <v>Thursday</v>
      </c>
      <c r="D12" t="str">
        <f>TEXT(Table1[[#This Row],[Order Date]],"mmm")</f>
        <v>Feb</v>
      </c>
      <c r="E12" s="5" t="s">
        <v>135</v>
      </c>
      <c r="F12" s="3" t="s">
        <v>234</v>
      </c>
      <c r="G12" t="s">
        <v>309</v>
      </c>
      <c r="H12" t="s">
        <v>323</v>
      </c>
      <c r="I12" t="str">
        <f>PROPER(TRIM(Table1[[#This Row],[Customer Name]]))</f>
        <v>Ayaan Verma</v>
      </c>
      <c r="J12" t="s">
        <v>423</v>
      </c>
      <c r="K12" t="s">
        <v>492</v>
      </c>
      <c r="L12" t="s">
        <v>495</v>
      </c>
      <c r="M12" t="s">
        <v>505</v>
      </c>
      <c r="N12" t="s">
        <v>507</v>
      </c>
      <c r="O12">
        <v>774033</v>
      </c>
      <c r="P12" t="s">
        <v>508</v>
      </c>
      <c r="Q12" t="s">
        <v>510</v>
      </c>
      <c r="R12" t="s">
        <v>524</v>
      </c>
      <c r="S12" t="str">
        <f t="shared" si="0"/>
        <v>OFF</v>
      </c>
      <c r="T12" t="str">
        <f t="shared" si="1"/>
        <v>: bin</v>
      </c>
      <c r="U12" t="s">
        <v>620</v>
      </c>
      <c r="V12" t="s">
        <v>630</v>
      </c>
      <c r="W12">
        <v>1103.8699999999999</v>
      </c>
      <c r="X12">
        <v>1</v>
      </c>
      <c r="Y12">
        <v>15</v>
      </c>
      <c r="Z12">
        <v>37.78</v>
      </c>
      <c r="AA12">
        <v>32.08</v>
      </c>
      <c r="AB12" t="s">
        <v>638</v>
      </c>
      <c r="AC12">
        <v>2025</v>
      </c>
      <c r="AD12" t="str">
        <f t="shared" si="2"/>
        <v>UPI</v>
      </c>
      <c r="AE12" t="s">
        <v>648</v>
      </c>
      <c r="AF12">
        <f t="shared" si="3"/>
        <v>90</v>
      </c>
      <c r="AG12" s="6">
        <f t="shared" si="4"/>
        <v>12561.35088888889</v>
      </c>
      <c r="AH12">
        <f t="shared" si="5"/>
        <v>542</v>
      </c>
      <c r="AI12">
        <f t="shared" si="6"/>
        <v>17.428888888888892</v>
      </c>
      <c r="AJ12">
        <f t="shared" si="7"/>
        <v>41691.120000000003</v>
      </c>
      <c r="AK12">
        <f t="shared" si="8"/>
        <v>32.08</v>
      </c>
      <c r="AL12">
        <f t="shared" si="9"/>
        <v>7</v>
      </c>
      <c r="AM12">
        <f t="shared" si="10"/>
        <v>217</v>
      </c>
      <c r="AN12">
        <f t="shared" si="11"/>
        <v>1103.8699999999999</v>
      </c>
      <c r="AO12">
        <f t="shared" si="12"/>
        <v>165.5805</v>
      </c>
      <c r="AP12">
        <f t="shared" si="13"/>
        <v>938.28949999999986</v>
      </c>
      <c r="AQ12">
        <f t="shared" si="14"/>
        <v>970.3694999999999</v>
      </c>
      <c r="AR12">
        <f t="shared" si="15"/>
        <v>6</v>
      </c>
    </row>
    <row r="13" spans="1:44" x14ac:dyDescent="0.3">
      <c r="A13">
        <v>12</v>
      </c>
      <c r="B13" t="s">
        <v>36</v>
      </c>
      <c r="C13" t="str">
        <f>TEXT(Table1[[#This Row],[Order Date]],"dddd")</f>
        <v>Monday</v>
      </c>
      <c r="D13" t="str">
        <f>TEXT(Table1[[#This Row],[Order Date]],"mmm")</f>
        <v>Feb</v>
      </c>
      <c r="E13" s="5" t="s">
        <v>136</v>
      </c>
      <c r="F13" s="3" t="s">
        <v>235</v>
      </c>
      <c r="G13" t="s">
        <v>309</v>
      </c>
      <c r="H13" t="s">
        <v>324</v>
      </c>
      <c r="I13" t="str">
        <f>PROPER(TRIM(Table1[[#This Row],[Customer Name]]))</f>
        <v>Ayaan Patel</v>
      </c>
      <c r="J13" t="s">
        <v>424</v>
      </c>
      <c r="K13" t="s">
        <v>492</v>
      </c>
      <c r="L13" t="s">
        <v>497</v>
      </c>
      <c r="M13" t="s">
        <v>503</v>
      </c>
      <c r="N13" t="s">
        <v>507</v>
      </c>
      <c r="O13">
        <v>510449</v>
      </c>
      <c r="P13" t="s">
        <v>508</v>
      </c>
      <c r="Q13" t="s">
        <v>510</v>
      </c>
      <c r="R13" t="s">
        <v>525</v>
      </c>
      <c r="S13" t="str">
        <f t="shared" si="0"/>
        <v>TEC</v>
      </c>
      <c r="T13" t="str">
        <f t="shared" si="1"/>
        <v>:PHHH</v>
      </c>
      <c r="U13" t="s">
        <v>621</v>
      </c>
      <c r="V13" t="s">
        <v>629</v>
      </c>
      <c r="W13">
        <v>42688.55</v>
      </c>
      <c r="X13">
        <v>1</v>
      </c>
      <c r="Y13">
        <v>20</v>
      </c>
      <c r="Z13">
        <v>33.11</v>
      </c>
      <c r="AA13">
        <v>1961.12</v>
      </c>
      <c r="AB13" t="s">
        <v>636</v>
      </c>
      <c r="AC13">
        <v>2025</v>
      </c>
      <c r="AD13" t="str">
        <f t="shared" si="2"/>
        <v>Net Banking</v>
      </c>
      <c r="AE13" t="s">
        <v>639</v>
      </c>
      <c r="AF13">
        <f t="shared" si="3"/>
        <v>89</v>
      </c>
      <c r="AG13" s="6">
        <f t="shared" si="4"/>
        <v>12690.086629213483</v>
      </c>
      <c r="AH13">
        <f t="shared" si="5"/>
        <v>541</v>
      </c>
      <c r="AI13">
        <f t="shared" si="6"/>
        <v>17.200224719101122</v>
      </c>
      <c r="AJ13">
        <f t="shared" si="7"/>
        <v>41691.120000000003</v>
      </c>
      <c r="AK13">
        <f t="shared" si="8"/>
        <v>68.73</v>
      </c>
      <c r="AL13">
        <f t="shared" si="9"/>
        <v>6</v>
      </c>
      <c r="AM13">
        <f t="shared" si="10"/>
        <v>217</v>
      </c>
      <c r="AN13">
        <f t="shared" si="11"/>
        <v>42688.55</v>
      </c>
      <c r="AO13">
        <f t="shared" si="12"/>
        <v>8537.7099999999991</v>
      </c>
      <c r="AP13">
        <f t="shared" si="13"/>
        <v>34150.840000000004</v>
      </c>
      <c r="AQ13">
        <f t="shared" si="14"/>
        <v>36111.960000000006</v>
      </c>
      <c r="AR13">
        <f t="shared" si="15"/>
        <v>1</v>
      </c>
    </row>
    <row r="14" spans="1:44" x14ac:dyDescent="0.3">
      <c r="A14">
        <v>13</v>
      </c>
      <c r="B14" t="s">
        <v>37</v>
      </c>
      <c r="C14" t="str">
        <f>TEXT(Table1[[#This Row],[Order Date]],"dddd")</f>
        <v>Friday</v>
      </c>
      <c r="D14" t="str">
        <f>TEXT(Table1[[#This Row],[Order Date]],"mmm")</f>
        <v>Feb</v>
      </c>
      <c r="E14" s="5" t="s">
        <v>137</v>
      </c>
      <c r="F14" s="3" t="s">
        <v>236</v>
      </c>
      <c r="G14" t="s">
        <v>309</v>
      </c>
      <c r="H14" t="s">
        <v>325</v>
      </c>
      <c r="I14" t="str">
        <f>PROPER(TRIM(Table1[[#This Row],[Customer Name]]))</f>
        <v>Vivaan Jain</v>
      </c>
      <c r="J14" t="s">
        <v>425</v>
      </c>
      <c r="K14" t="s">
        <v>491</v>
      </c>
      <c r="L14" t="s">
        <v>495</v>
      </c>
      <c r="M14" t="s">
        <v>503</v>
      </c>
      <c r="N14" t="s">
        <v>507</v>
      </c>
      <c r="O14">
        <v>414398</v>
      </c>
      <c r="P14" t="s">
        <v>508</v>
      </c>
      <c r="Q14" t="s">
        <v>513</v>
      </c>
      <c r="R14" t="s">
        <v>526</v>
      </c>
      <c r="S14" t="str">
        <f t="shared" si="0"/>
        <v>OFF</v>
      </c>
      <c r="T14" t="str">
        <f t="shared" si="1"/>
        <v>BIN</v>
      </c>
      <c r="U14" t="s">
        <v>622</v>
      </c>
      <c r="V14" t="s">
        <v>633</v>
      </c>
      <c r="W14">
        <v>19322.39</v>
      </c>
      <c r="X14">
        <v>9</v>
      </c>
      <c r="Y14">
        <v>25</v>
      </c>
      <c r="Z14">
        <v>30.48</v>
      </c>
      <c r="AA14">
        <v>13323.8</v>
      </c>
      <c r="AB14" t="s">
        <v>638</v>
      </c>
      <c r="AC14">
        <v>2025</v>
      </c>
      <c r="AD14" t="str">
        <f t="shared" si="2"/>
        <v>Credit Card</v>
      </c>
      <c r="AE14" t="s">
        <v>645</v>
      </c>
      <c r="AF14">
        <f t="shared" si="3"/>
        <v>88</v>
      </c>
      <c r="AG14" s="6">
        <f t="shared" si="4"/>
        <v>12349.194999999996</v>
      </c>
      <c r="AH14">
        <f t="shared" si="5"/>
        <v>540</v>
      </c>
      <c r="AI14">
        <f t="shared" si="6"/>
        <v>17.019431818181818</v>
      </c>
      <c r="AJ14">
        <f t="shared" si="7"/>
        <v>41691.120000000003</v>
      </c>
      <c r="AK14">
        <f t="shared" si="8"/>
        <v>68.73</v>
      </c>
      <c r="AL14">
        <f t="shared" si="9"/>
        <v>6</v>
      </c>
      <c r="AM14">
        <f t="shared" si="10"/>
        <v>216</v>
      </c>
      <c r="AN14">
        <f t="shared" si="11"/>
        <v>173901.51</v>
      </c>
      <c r="AO14">
        <f t="shared" si="12"/>
        <v>43475.377500000002</v>
      </c>
      <c r="AP14">
        <f t="shared" si="13"/>
        <v>130426.13250000001</v>
      </c>
      <c r="AQ14">
        <f t="shared" si="14"/>
        <v>143749.9325</v>
      </c>
      <c r="AR14">
        <f t="shared" si="15"/>
        <v>4</v>
      </c>
    </row>
    <row r="15" spans="1:44" x14ac:dyDescent="0.3">
      <c r="A15">
        <v>14</v>
      </c>
      <c r="B15" t="s">
        <v>38</v>
      </c>
      <c r="C15" t="str">
        <f>TEXT(Table1[[#This Row],[Order Date]],"dddd")</f>
        <v>Monday</v>
      </c>
      <c r="D15" t="str">
        <f>TEXT(Table1[[#This Row],[Order Date]],"mmm")</f>
        <v>Feb</v>
      </c>
      <c r="E15" s="5" t="s">
        <v>138</v>
      </c>
      <c r="F15" s="3" t="s">
        <v>236</v>
      </c>
      <c r="G15" t="s">
        <v>312</v>
      </c>
      <c r="H15" t="s">
        <v>326</v>
      </c>
      <c r="I15" t="str">
        <f>PROPER(TRIM(Table1[[#This Row],[Customer Name]]))</f>
        <v>Aditya Verma</v>
      </c>
      <c r="J15" t="s">
        <v>426</v>
      </c>
      <c r="K15" t="s">
        <v>490</v>
      </c>
      <c r="L15" t="s">
        <v>498</v>
      </c>
      <c r="M15" t="s">
        <v>496</v>
      </c>
      <c r="N15" t="s">
        <v>507</v>
      </c>
      <c r="O15">
        <v>578032</v>
      </c>
      <c r="P15" t="s">
        <v>508</v>
      </c>
      <c r="Q15" t="s">
        <v>511</v>
      </c>
      <c r="R15" t="s">
        <v>527</v>
      </c>
      <c r="S15" t="str">
        <f t="shared" si="0"/>
        <v>OFF</v>
      </c>
      <c r="T15" t="str">
        <f t="shared" si="1"/>
        <v>:ART</v>
      </c>
      <c r="U15" t="s">
        <v>623</v>
      </c>
      <c r="V15" t="s">
        <v>631</v>
      </c>
      <c r="W15">
        <v>3427.65</v>
      </c>
      <c r="X15">
        <v>11</v>
      </c>
      <c r="Y15">
        <v>0</v>
      </c>
      <c r="Z15">
        <v>22.76</v>
      </c>
      <c r="AA15">
        <v>1703.61</v>
      </c>
      <c r="AB15" t="s">
        <v>636</v>
      </c>
      <c r="AC15">
        <v>2025</v>
      </c>
      <c r="AD15" t="str">
        <f t="shared" si="2"/>
        <v>Cash/Cheque</v>
      </c>
      <c r="AE15" t="s">
        <v>649</v>
      </c>
      <c r="AF15">
        <f t="shared" si="3"/>
        <v>87</v>
      </c>
      <c r="AG15" s="6">
        <f t="shared" si="4"/>
        <v>12269.043333333331</v>
      </c>
      <c r="AH15">
        <f t="shared" si="5"/>
        <v>531</v>
      </c>
      <c r="AI15">
        <f t="shared" si="6"/>
        <v>16.864712643678164</v>
      </c>
      <c r="AJ15">
        <f t="shared" si="7"/>
        <v>41691.120000000003</v>
      </c>
      <c r="AK15">
        <f t="shared" si="8"/>
        <v>68.73</v>
      </c>
      <c r="AL15">
        <f t="shared" si="9"/>
        <v>6</v>
      </c>
      <c r="AM15">
        <f t="shared" si="10"/>
        <v>207</v>
      </c>
      <c r="AN15">
        <f t="shared" si="11"/>
        <v>37704.15</v>
      </c>
      <c r="AO15">
        <f t="shared" si="12"/>
        <v>0</v>
      </c>
      <c r="AP15">
        <f t="shared" si="13"/>
        <v>37704.15</v>
      </c>
      <c r="AQ15">
        <f t="shared" si="14"/>
        <v>39407.760000000002</v>
      </c>
      <c r="AR15">
        <f t="shared" si="15"/>
        <v>1</v>
      </c>
    </row>
    <row r="16" spans="1:44" x14ac:dyDescent="0.3">
      <c r="A16">
        <v>15</v>
      </c>
      <c r="B16" t="s">
        <v>39</v>
      </c>
      <c r="C16" t="str">
        <f>TEXT(Table1[[#This Row],[Order Date]],"dddd")</f>
        <v>Friday</v>
      </c>
      <c r="D16" t="str">
        <f>TEXT(Table1[[#This Row],[Order Date]],"mmm")</f>
        <v>Feb</v>
      </c>
      <c r="E16" s="5" t="s">
        <v>139</v>
      </c>
      <c r="F16" s="3" t="s">
        <v>237</v>
      </c>
      <c r="G16" t="s">
        <v>310</v>
      </c>
      <c r="H16" t="s">
        <v>327</v>
      </c>
      <c r="I16" t="str">
        <f>PROPER(TRIM(Table1[[#This Row],[Customer Name]]))</f>
        <v>Saanvi Sharma</v>
      </c>
      <c r="J16" t="s">
        <v>427</v>
      </c>
      <c r="K16" t="s">
        <v>490</v>
      </c>
      <c r="L16" t="s">
        <v>500</v>
      </c>
      <c r="M16" t="s">
        <v>502</v>
      </c>
      <c r="N16" t="s">
        <v>507</v>
      </c>
      <c r="O16">
        <v>793945</v>
      </c>
      <c r="P16" t="s">
        <v>508</v>
      </c>
      <c r="Q16" t="s">
        <v>509</v>
      </c>
      <c r="R16" t="s">
        <v>528</v>
      </c>
      <c r="S16" t="str">
        <f t="shared" si="0"/>
        <v>TEC</v>
      </c>
      <c r="T16" t="str">
        <f t="shared" si="1"/>
        <v>:MON</v>
      </c>
      <c r="U16" t="s">
        <v>614</v>
      </c>
      <c r="V16" t="s">
        <v>632</v>
      </c>
      <c r="W16">
        <v>1599.07</v>
      </c>
      <c r="X16">
        <v>8</v>
      </c>
      <c r="Y16">
        <v>20</v>
      </c>
      <c r="Z16">
        <v>17.54</v>
      </c>
      <c r="AA16">
        <v>745.95</v>
      </c>
      <c r="AB16" t="s">
        <v>638</v>
      </c>
      <c r="AC16">
        <v>2025</v>
      </c>
      <c r="AD16" t="str">
        <f t="shared" si="2"/>
        <v>Debit Card</v>
      </c>
      <c r="AE16" t="s">
        <v>647</v>
      </c>
      <c r="AF16">
        <f t="shared" si="3"/>
        <v>86</v>
      </c>
      <c r="AG16" s="6">
        <f t="shared" si="4"/>
        <v>12371.850232558136</v>
      </c>
      <c r="AH16">
        <f t="shared" si="5"/>
        <v>520</v>
      </c>
      <c r="AI16">
        <f t="shared" si="6"/>
        <v>16.796162790697675</v>
      </c>
      <c r="AJ16">
        <f t="shared" si="7"/>
        <v>41691.120000000003</v>
      </c>
      <c r="AK16">
        <f t="shared" si="8"/>
        <v>68.73</v>
      </c>
      <c r="AL16">
        <f t="shared" si="9"/>
        <v>6</v>
      </c>
      <c r="AM16">
        <f t="shared" si="10"/>
        <v>207</v>
      </c>
      <c r="AN16">
        <f t="shared" si="11"/>
        <v>12792.56</v>
      </c>
      <c r="AO16">
        <f t="shared" si="12"/>
        <v>2558.5119999999997</v>
      </c>
      <c r="AP16">
        <f t="shared" si="13"/>
        <v>10234.047999999999</v>
      </c>
      <c r="AQ16">
        <f t="shared" si="14"/>
        <v>10979.998</v>
      </c>
      <c r="AR16">
        <f t="shared" si="15"/>
        <v>5</v>
      </c>
    </row>
    <row r="17" spans="1:44" x14ac:dyDescent="0.3">
      <c r="A17">
        <v>16</v>
      </c>
      <c r="B17" t="s">
        <v>40</v>
      </c>
      <c r="C17" t="str">
        <f>TEXT(Table1[[#This Row],[Order Date]],"dddd")</f>
        <v>Tuesday</v>
      </c>
      <c r="D17" t="str">
        <f>TEXT(Table1[[#This Row],[Order Date]],"mmm")</f>
        <v>Feb</v>
      </c>
      <c r="E17" s="5" t="s">
        <v>140</v>
      </c>
      <c r="F17" s="3" t="s">
        <v>238</v>
      </c>
      <c r="G17" t="s">
        <v>312</v>
      </c>
      <c r="H17" t="s">
        <v>328</v>
      </c>
      <c r="I17" t="str">
        <f>PROPER(TRIM(Table1[[#This Row],[Customer Name]]))</f>
        <v>Saanvi Mehta</v>
      </c>
      <c r="J17" t="s">
        <v>428</v>
      </c>
      <c r="K17" t="s">
        <v>492</v>
      </c>
      <c r="L17" t="s">
        <v>493</v>
      </c>
      <c r="M17" t="s">
        <v>504</v>
      </c>
      <c r="N17" t="s">
        <v>507</v>
      </c>
      <c r="O17">
        <v>519181</v>
      </c>
      <c r="P17" t="s">
        <v>508</v>
      </c>
      <c r="Q17" t="s">
        <v>513</v>
      </c>
      <c r="R17" t="s">
        <v>529</v>
      </c>
      <c r="S17" t="str">
        <f t="shared" si="0"/>
        <v>OFF</v>
      </c>
      <c r="T17" t="str">
        <f t="shared" si="1"/>
        <v>:CAB</v>
      </c>
      <c r="U17" t="s">
        <v>624</v>
      </c>
      <c r="V17" t="s">
        <v>634</v>
      </c>
      <c r="W17">
        <v>11753.24</v>
      </c>
      <c r="X17">
        <v>10</v>
      </c>
      <c r="Y17">
        <v>25</v>
      </c>
      <c r="Z17">
        <v>-5.65</v>
      </c>
      <c r="AA17">
        <v>5154.46</v>
      </c>
      <c r="AB17" t="s">
        <v>636</v>
      </c>
      <c r="AC17">
        <v>2025</v>
      </c>
      <c r="AD17" t="str">
        <f t="shared" si="2"/>
        <v>Credit Card</v>
      </c>
      <c r="AE17" t="s">
        <v>645</v>
      </c>
      <c r="AF17">
        <f t="shared" si="3"/>
        <v>85</v>
      </c>
      <c r="AG17" s="6">
        <f t="shared" si="4"/>
        <v>12498.58882352941</v>
      </c>
      <c r="AH17">
        <f t="shared" si="5"/>
        <v>512</v>
      </c>
      <c r="AI17">
        <f t="shared" si="6"/>
        <v>16.787411764705883</v>
      </c>
      <c r="AJ17">
        <f t="shared" si="7"/>
        <v>41691.120000000003</v>
      </c>
      <c r="AK17">
        <f t="shared" si="8"/>
        <v>68.73</v>
      </c>
      <c r="AL17">
        <f t="shared" si="9"/>
        <v>6</v>
      </c>
      <c r="AM17">
        <f t="shared" si="10"/>
        <v>207</v>
      </c>
      <c r="AN17">
        <f t="shared" si="11"/>
        <v>117532.4</v>
      </c>
      <c r="AO17">
        <f t="shared" si="12"/>
        <v>29383.1</v>
      </c>
      <c r="AP17">
        <f t="shared" si="13"/>
        <v>88149.299999999988</v>
      </c>
      <c r="AQ17">
        <f t="shared" si="14"/>
        <v>93303.76</v>
      </c>
      <c r="AR17">
        <f t="shared" si="15"/>
        <v>4</v>
      </c>
    </row>
    <row r="18" spans="1:44" x14ac:dyDescent="0.3">
      <c r="A18">
        <v>17</v>
      </c>
      <c r="B18" t="s">
        <v>41</v>
      </c>
      <c r="C18" t="str">
        <f>TEXT(Table1[[#This Row],[Order Date]],"dddd")</f>
        <v>Friday</v>
      </c>
      <c r="D18" t="str">
        <f>TEXT(Table1[[#This Row],[Order Date]],"mmm")</f>
        <v>Feb</v>
      </c>
      <c r="E18" s="5" t="s">
        <v>141</v>
      </c>
      <c r="F18" s="3" t="s">
        <v>239</v>
      </c>
      <c r="G18" t="s">
        <v>309</v>
      </c>
      <c r="H18" t="s">
        <v>329</v>
      </c>
      <c r="I18" t="str">
        <f>PROPER(TRIM(Table1[[#This Row],[Customer Name]]))</f>
        <v>Rohan Patel</v>
      </c>
      <c r="J18" t="s">
        <v>429</v>
      </c>
      <c r="K18" t="s">
        <v>490</v>
      </c>
      <c r="L18" t="s">
        <v>493</v>
      </c>
      <c r="M18" t="s">
        <v>496</v>
      </c>
      <c r="N18" t="s">
        <v>507</v>
      </c>
      <c r="O18">
        <v>466235</v>
      </c>
      <c r="P18" t="s">
        <v>508</v>
      </c>
      <c r="Q18" t="s">
        <v>511</v>
      </c>
      <c r="R18" t="s">
        <v>530</v>
      </c>
      <c r="S18" t="str">
        <f t="shared" si="0"/>
        <v>OFF</v>
      </c>
      <c r="T18" t="str">
        <f t="shared" si="1"/>
        <v>:ART</v>
      </c>
      <c r="U18" t="s">
        <v>623</v>
      </c>
      <c r="V18" t="s">
        <v>630</v>
      </c>
      <c r="W18">
        <v>1240.3399999999999</v>
      </c>
      <c r="X18">
        <v>9</v>
      </c>
      <c r="Y18">
        <v>20</v>
      </c>
      <c r="Z18">
        <v>10.42</v>
      </c>
      <c r="AA18">
        <v>406.93</v>
      </c>
      <c r="AB18" t="s">
        <v>636</v>
      </c>
      <c r="AC18">
        <v>2025</v>
      </c>
      <c r="AD18" t="str">
        <f t="shared" si="2"/>
        <v>Cash/Cheque</v>
      </c>
      <c r="AE18" t="s">
        <v>649</v>
      </c>
      <c r="AF18">
        <f t="shared" si="3"/>
        <v>84</v>
      </c>
      <c r="AG18" s="6">
        <f t="shared" si="4"/>
        <v>12507.462023809521</v>
      </c>
      <c r="AH18">
        <f t="shared" si="5"/>
        <v>502</v>
      </c>
      <c r="AI18">
        <f t="shared" si="6"/>
        <v>17.054523809523811</v>
      </c>
      <c r="AJ18">
        <f t="shared" si="7"/>
        <v>41691.120000000003</v>
      </c>
      <c r="AK18">
        <f t="shared" si="8"/>
        <v>68.73</v>
      </c>
      <c r="AL18">
        <f t="shared" si="9"/>
        <v>6</v>
      </c>
      <c r="AM18">
        <f t="shared" si="10"/>
        <v>197</v>
      </c>
      <c r="AN18">
        <f t="shared" si="11"/>
        <v>11163.06</v>
      </c>
      <c r="AO18">
        <f t="shared" si="12"/>
        <v>2232.6119999999996</v>
      </c>
      <c r="AP18">
        <f t="shared" si="13"/>
        <v>8930.4480000000003</v>
      </c>
      <c r="AQ18">
        <f t="shared" si="14"/>
        <v>9337.3780000000006</v>
      </c>
      <c r="AR18">
        <f t="shared" si="15"/>
        <v>5</v>
      </c>
    </row>
    <row r="19" spans="1:44" x14ac:dyDescent="0.3">
      <c r="A19">
        <v>18</v>
      </c>
      <c r="B19" t="s">
        <v>42</v>
      </c>
      <c r="C19" t="str">
        <f>TEXT(Table1[[#This Row],[Order Date]],"dddd")</f>
        <v>Tuesday</v>
      </c>
      <c r="D19" t="str">
        <f>TEXT(Table1[[#This Row],[Order Date]],"mmm")</f>
        <v>Mar</v>
      </c>
      <c r="E19" s="5" t="s">
        <v>142</v>
      </c>
      <c r="F19" s="3" t="s">
        <v>240</v>
      </c>
      <c r="G19" t="s">
        <v>312</v>
      </c>
      <c r="H19" t="s">
        <v>330</v>
      </c>
      <c r="I19" t="str">
        <f>PROPER(TRIM(Table1[[#This Row],[Customer Name]]))</f>
        <v>Priya Mehta</v>
      </c>
      <c r="J19" t="s">
        <v>430</v>
      </c>
      <c r="K19" t="s">
        <v>490</v>
      </c>
      <c r="L19" t="s">
        <v>499</v>
      </c>
      <c r="M19" t="s">
        <v>496</v>
      </c>
      <c r="N19" t="s">
        <v>507</v>
      </c>
      <c r="O19">
        <v>439955</v>
      </c>
      <c r="P19" t="s">
        <v>508</v>
      </c>
      <c r="Q19" t="s">
        <v>513</v>
      </c>
      <c r="R19" t="s">
        <v>531</v>
      </c>
      <c r="S19" t="str">
        <f t="shared" si="0"/>
        <v>OFF</v>
      </c>
      <c r="T19" t="str">
        <f t="shared" si="1"/>
        <v>:ART</v>
      </c>
      <c r="U19" t="s">
        <v>623</v>
      </c>
      <c r="V19" t="s">
        <v>629</v>
      </c>
      <c r="W19">
        <v>42344.86</v>
      </c>
      <c r="X19">
        <v>7</v>
      </c>
      <c r="Y19">
        <v>15</v>
      </c>
      <c r="Z19">
        <v>8.6300000000000008</v>
      </c>
      <c r="AA19">
        <v>23428.17</v>
      </c>
      <c r="AB19" t="s">
        <v>638</v>
      </c>
      <c r="AC19">
        <v>2025</v>
      </c>
      <c r="AD19" t="str">
        <f t="shared" si="2"/>
        <v>Net Banking</v>
      </c>
      <c r="AE19" t="s">
        <v>639</v>
      </c>
      <c r="AF19">
        <f t="shared" si="3"/>
        <v>83</v>
      </c>
      <c r="AG19" s="6">
        <f t="shared" si="4"/>
        <v>12643.210481927708</v>
      </c>
      <c r="AH19">
        <f t="shared" si="5"/>
        <v>493</v>
      </c>
      <c r="AI19">
        <f t="shared" si="6"/>
        <v>17.134457831325303</v>
      </c>
      <c r="AJ19">
        <f t="shared" si="7"/>
        <v>41691.120000000003</v>
      </c>
      <c r="AK19">
        <f t="shared" si="8"/>
        <v>68.73</v>
      </c>
      <c r="AL19">
        <f t="shared" si="9"/>
        <v>6</v>
      </c>
      <c r="AM19">
        <f t="shared" si="10"/>
        <v>197</v>
      </c>
      <c r="AN19">
        <f t="shared" si="11"/>
        <v>296414.02</v>
      </c>
      <c r="AO19">
        <f t="shared" si="12"/>
        <v>44462.10300000001</v>
      </c>
      <c r="AP19">
        <f t="shared" si="13"/>
        <v>251951.91700000002</v>
      </c>
      <c r="AQ19">
        <f t="shared" si="14"/>
        <v>275380.087</v>
      </c>
      <c r="AR19">
        <f t="shared" si="15"/>
        <v>3</v>
      </c>
    </row>
    <row r="20" spans="1:44" x14ac:dyDescent="0.3">
      <c r="A20">
        <v>19</v>
      </c>
      <c r="B20" t="s">
        <v>43</v>
      </c>
      <c r="C20" t="str">
        <f>TEXT(Table1[[#This Row],[Order Date]],"dddd")</f>
        <v>Saturday</v>
      </c>
      <c r="D20" t="str">
        <f>TEXT(Table1[[#This Row],[Order Date]],"mmm")</f>
        <v>Mar</v>
      </c>
      <c r="E20" s="5" t="s">
        <v>143</v>
      </c>
      <c r="F20" s="3" t="s">
        <v>241</v>
      </c>
      <c r="G20" t="s">
        <v>312</v>
      </c>
      <c r="H20" t="s">
        <v>331</v>
      </c>
      <c r="I20" t="str">
        <f>PROPER(TRIM(Table1[[#This Row],[Customer Name]]))</f>
        <v>Aarya Verma</v>
      </c>
      <c r="J20" t="s">
        <v>431</v>
      </c>
      <c r="K20" t="s">
        <v>490</v>
      </c>
      <c r="L20" t="s">
        <v>498</v>
      </c>
      <c r="M20" t="s">
        <v>503</v>
      </c>
      <c r="N20" t="s">
        <v>507</v>
      </c>
      <c r="O20">
        <v>578353</v>
      </c>
      <c r="P20" t="s">
        <v>508</v>
      </c>
      <c r="Q20" t="s">
        <v>509</v>
      </c>
      <c r="R20" t="s">
        <v>532</v>
      </c>
      <c r="S20" t="str">
        <f t="shared" si="0"/>
        <v>OFF</v>
      </c>
      <c r="T20" t="str">
        <f t="shared" si="1"/>
        <v>:CAB</v>
      </c>
      <c r="U20" t="s">
        <v>624</v>
      </c>
      <c r="V20" t="s">
        <v>629</v>
      </c>
      <c r="W20">
        <v>43138.33</v>
      </c>
      <c r="X20">
        <v>3</v>
      </c>
      <c r="Y20">
        <v>0</v>
      </c>
      <c r="Z20">
        <v>2.99</v>
      </c>
      <c r="AA20">
        <v>5766.74</v>
      </c>
      <c r="AB20" t="s">
        <v>637</v>
      </c>
      <c r="AC20">
        <v>2025</v>
      </c>
      <c r="AD20" t="str">
        <f t="shared" si="2"/>
        <v>Gift Cards</v>
      </c>
      <c r="AE20" t="s">
        <v>646</v>
      </c>
      <c r="AF20">
        <f t="shared" si="3"/>
        <v>82</v>
      </c>
      <c r="AG20" s="6">
        <f t="shared" si="4"/>
        <v>12280.995243902435</v>
      </c>
      <c r="AH20">
        <f t="shared" si="5"/>
        <v>486</v>
      </c>
      <c r="AI20">
        <f t="shared" si="6"/>
        <v>17.238170731707321</v>
      </c>
      <c r="AJ20">
        <f t="shared" si="7"/>
        <v>41691.120000000003</v>
      </c>
      <c r="AK20">
        <f t="shared" si="8"/>
        <v>68.73</v>
      </c>
      <c r="AL20">
        <f t="shared" si="9"/>
        <v>6</v>
      </c>
      <c r="AM20">
        <f t="shared" si="10"/>
        <v>190</v>
      </c>
      <c r="AN20">
        <f t="shared" si="11"/>
        <v>129414.99</v>
      </c>
      <c r="AO20">
        <f t="shared" si="12"/>
        <v>0</v>
      </c>
      <c r="AP20">
        <f t="shared" si="13"/>
        <v>129414.99</v>
      </c>
      <c r="AQ20">
        <f t="shared" si="14"/>
        <v>135181.73000000001</v>
      </c>
      <c r="AR20">
        <f t="shared" si="15"/>
        <v>4</v>
      </c>
    </row>
    <row r="21" spans="1:44" x14ac:dyDescent="0.3">
      <c r="A21">
        <v>20</v>
      </c>
      <c r="B21" t="s">
        <v>44</v>
      </c>
      <c r="C21" t="str">
        <f>TEXT(Table1[[#This Row],[Order Date]],"dddd")</f>
        <v>Tuesday</v>
      </c>
      <c r="D21" t="str">
        <f>TEXT(Table1[[#This Row],[Order Date]],"mmm")</f>
        <v>Mar</v>
      </c>
      <c r="E21" s="5" t="s">
        <v>144</v>
      </c>
      <c r="F21" s="3" t="s">
        <v>242</v>
      </c>
      <c r="G21" t="s">
        <v>312</v>
      </c>
      <c r="H21" t="s">
        <v>332</v>
      </c>
      <c r="I21" t="str">
        <f>PROPER(TRIM(Table1[[#This Row],[Customer Name]]))</f>
        <v>Diya Gupta</v>
      </c>
      <c r="J21" t="s">
        <v>432</v>
      </c>
      <c r="K21" t="s">
        <v>492</v>
      </c>
      <c r="L21" t="s">
        <v>497</v>
      </c>
      <c r="M21" t="s">
        <v>501</v>
      </c>
      <c r="N21" t="s">
        <v>507</v>
      </c>
      <c r="O21">
        <v>479460</v>
      </c>
      <c r="P21" t="s">
        <v>508</v>
      </c>
      <c r="Q21" t="s">
        <v>510</v>
      </c>
      <c r="R21" t="s">
        <v>533</v>
      </c>
      <c r="S21" t="str">
        <f t="shared" si="0"/>
        <v>TEC</v>
      </c>
      <c r="T21" t="str">
        <f t="shared" si="1"/>
        <v>:MSW</v>
      </c>
      <c r="U21" t="s">
        <v>616</v>
      </c>
      <c r="V21" t="s">
        <v>634</v>
      </c>
      <c r="W21">
        <v>12951.21</v>
      </c>
      <c r="X21">
        <v>3</v>
      </c>
      <c r="Y21">
        <v>15</v>
      </c>
      <c r="Z21">
        <v>26.17</v>
      </c>
      <c r="AA21">
        <v>2861.41</v>
      </c>
      <c r="AB21" t="s">
        <v>635</v>
      </c>
      <c r="AC21">
        <v>2025</v>
      </c>
      <c r="AD21" t="str">
        <f t="shared" si="2"/>
        <v>Net Banking</v>
      </c>
      <c r="AE21" t="s">
        <v>639</v>
      </c>
      <c r="AF21">
        <f t="shared" si="3"/>
        <v>81</v>
      </c>
      <c r="AG21" s="6">
        <f t="shared" si="4"/>
        <v>11900.040493827157</v>
      </c>
      <c r="AH21">
        <f t="shared" si="5"/>
        <v>483</v>
      </c>
      <c r="AI21">
        <f t="shared" si="6"/>
        <v>17.414074074074076</v>
      </c>
      <c r="AJ21">
        <f t="shared" si="7"/>
        <v>41691.120000000003</v>
      </c>
      <c r="AK21">
        <f t="shared" si="8"/>
        <v>68.73</v>
      </c>
      <c r="AL21">
        <f t="shared" si="9"/>
        <v>6</v>
      </c>
      <c r="AM21">
        <f t="shared" si="10"/>
        <v>187</v>
      </c>
      <c r="AN21">
        <f t="shared" si="11"/>
        <v>38853.629999999997</v>
      </c>
      <c r="AO21">
        <f t="shared" si="12"/>
        <v>5828.0445</v>
      </c>
      <c r="AP21">
        <f t="shared" si="13"/>
        <v>33025.585500000001</v>
      </c>
      <c r="AQ21">
        <f t="shared" si="14"/>
        <v>35886.995500000005</v>
      </c>
      <c r="AR21">
        <f t="shared" si="15"/>
        <v>3</v>
      </c>
    </row>
    <row r="22" spans="1:44" x14ac:dyDescent="0.3">
      <c r="A22">
        <v>21</v>
      </c>
      <c r="B22" t="s">
        <v>45</v>
      </c>
      <c r="C22" t="str">
        <f>TEXT(Table1[[#This Row],[Order Date]],"dddd")</f>
        <v>Saturday</v>
      </c>
      <c r="D22" t="str">
        <f>TEXT(Table1[[#This Row],[Order Date]],"mmm")</f>
        <v>Mar</v>
      </c>
      <c r="E22" s="5" t="s">
        <v>145</v>
      </c>
      <c r="F22" s="3" t="s">
        <v>243</v>
      </c>
      <c r="G22" t="s">
        <v>310</v>
      </c>
      <c r="H22" t="s">
        <v>333</v>
      </c>
      <c r="I22" t="str">
        <f>PROPER(TRIM(Table1[[#This Row],[Customer Name]]))</f>
        <v>Reyansh Jain</v>
      </c>
      <c r="J22" t="s">
        <v>433</v>
      </c>
      <c r="K22" t="s">
        <v>491</v>
      </c>
      <c r="L22" t="s">
        <v>499</v>
      </c>
      <c r="M22" t="s">
        <v>502</v>
      </c>
      <c r="N22" t="s">
        <v>507</v>
      </c>
      <c r="O22">
        <v>595005</v>
      </c>
      <c r="P22" t="s">
        <v>508</v>
      </c>
      <c r="Q22" t="s">
        <v>510</v>
      </c>
      <c r="R22" t="s">
        <v>534</v>
      </c>
      <c r="S22" t="str">
        <f t="shared" si="0"/>
        <v>TEC</v>
      </c>
      <c r="T22" t="str">
        <f t="shared" si="1"/>
        <v>:MSW</v>
      </c>
      <c r="U22" t="s">
        <v>616</v>
      </c>
      <c r="V22" t="s">
        <v>633</v>
      </c>
      <c r="W22">
        <v>16698.11</v>
      </c>
      <c r="X22">
        <v>2</v>
      </c>
      <c r="Y22">
        <v>0</v>
      </c>
      <c r="Z22">
        <v>14.79</v>
      </c>
      <c r="AA22">
        <v>1128.7</v>
      </c>
      <c r="AB22" t="s">
        <v>637</v>
      </c>
      <c r="AC22">
        <v>2025</v>
      </c>
      <c r="AD22" t="str">
        <f t="shared" si="2"/>
        <v>Mobile Wallets</v>
      </c>
      <c r="AE22" t="s">
        <v>650</v>
      </c>
      <c r="AF22">
        <f t="shared" si="3"/>
        <v>80</v>
      </c>
      <c r="AG22" s="6">
        <f t="shared" si="4"/>
        <v>11886.900874999996</v>
      </c>
      <c r="AH22">
        <f t="shared" si="5"/>
        <v>480</v>
      </c>
      <c r="AI22">
        <f t="shared" si="6"/>
        <v>17.304625000000005</v>
      </c>
      <c r="AJ22">
        <f t="shared" si="7"/>
        <v>41691.120000000003</v>
      </c>
      <c r="AK22">
        <f t="shared" si="8"/>
        <v>68.73</v>
      </c>
      <c r="AL22">
        <f t="shared" si="9"/>
        <v>6</v>
      </c>
      <c r="AM22">
        <f t="shared" si="10"/>
        <v>184</v>
      </c>
      <c r="AN22">
        <f t="shared" si="11"/>
        <v>33396.22</v>
      </c>
      <c r="AO22">
        <f t="shared" si="12"/>
        <v>0</v>
      </c>
      <c r="AP22">
        <f t="shared" si="13"/>
        <v>33396.22</v>
      </c>
      <c r="AQ22">
        <f t="shared" si="14"/>
        <v>34524.92</v>
      </c>
      <c r="AR22">
        <f t="shared" si="15"/>
        <v>1</v>
      </c>
    </row>
    <row r="23" spans="1:44" x14ac:dyDescent="0.3">
      <c r="A23">
        <v>22</v>
      </c>
      <c r="B23" t="s">
        <v>46</v>
      </c>
      <c r="C23" t="str">
        <f>TEXT(Table1[[#This Row],[Order Date]],"dddd")</f>
        <v>Wednesday</v>
      </c>
      <c r="D23" t="str">
        <f>TEXT(Table1[[#This Row],[Order Date]],"mmm")</f>
        <v>Mar</v>
      </c>
      <c r="E23" s="5" t="s">
        <v>146</v>
      </c>
      <c r="F23" s="3" t="s">
        <v>244</v>
      </c>
      <c r="G23" t="s">
        <v>311</v>
      </c>
      <c r="H23" t="s">
        <v>334</v>
      </c>
      <c r="I23" t="str">
        <f>PROPER(TRIM(Table1[[#This Row],[Customer Name]]))</f>
        <v>Vivaan Jain</v>
      </c>
      <c r="J23" t="s">
        <v>425</v>
      </c>
      <c r="K23" t="s">
        <v>491</v>
      </c>
      <c r="L23" t="s">
        <v>498</v>
      </c>
      <c r="M23" t="s">
        <v>496</v>
      </c>
      <c r="N23" t="s">
        <v>507</v>
      </c>
      <c r="O23">
        <v>600969</v>
      </c>
      <c r="P23" t="s">
        <v>508</v>
      </c>
      <c r="Q23" t="s">
        <v>511</v>
      </c>
      <c r="R23" t="s">
        <v>535</v>
      </c>
      <c r="S23" t="str">
        <f t="shared" si="0"/>
        <v>TEC</v>
      </c>
      <c r="T23" t="str">
        <f t="shared" si="1"/>
        <v>:MON</v>
      </c>
      <c r="U23" t="s">
        <v>614</v>
      </c>
      <c r="V23" t="s">
        <v>628</v>
      </c>
      <c r="W23">
        <v>596.12</v>
      </c>
      <c r="X23">
        <v>5</v>
      </c>
      <c r="Y23">
        <v>5</v>
      </c>
      <c r="Z23">
        <v>-5.95</v>
      </c>
      <c r="AA23">
        <v>97.72</v>
      </c>
      <c r="AB23" t="s">
        <v>638</v>
      </c>
      <c r="AC23">
        <v>2025</v>
      </c>
      <c r="AD23" t="str">
        <f t="shared" si="2"/>
        <v>UPI</v>
      </c>
      <c r="AE23" t="s">
        <v>648</v>
      </c>
      <c r="AF23">
        <f t="shared" si="3"/>
        <v>79</v>
      </c>
      <c r="AG23" s="6">
        <f t="shared" si="4"/>
        <v>11825.999493670883</v>
      </c>
      <c r="AH23">
        <f t="shared" si="5"/>
        <v>478</v>
      </c>
      <c r="AI23">
        <f t="shared" si="6"/>
        <v>17.336455696202535</v>
      </c>
      <c r="AJ23">
        <f t="shared" si="7"/>
        <v>41691.120000000003</v>
      </c>
      <c r="AK23">
        <f t="shared" si="8"/>
        <v>68.73</v>
      </c>
      <c r="AL23">
        <f t="shared" si="9"/>
        <v>6</v>
      </c>
      <c r="AM23">
        <f t="shared" si="10"/>
        <v>182</v>
      </c>
      <c r="AN23">
        <f t="shared" si="11"/>
        <v>2980.6</v>
      </c>
      <c r="AO23">
        <f t="shared" si="12"/>
        <v>149.03</v>
      </c>
      <c r="AP23">
        <f t="shared" si="13"/>
        <v>2831.5699999999997</v>
      </c>
      <c r="AQ23">
        <f t="shared" si="14"/>
        <v>2929.2899999999995</v>
      </c>
      <c r="AR23">
        <f t="shared" si="15"/>
        <v>1</v>
      </c>
    </row>
    <row r="24" spans="1:44" x14ac:dyDescent="0.3">
      <c r="A24">
        <v>23</v>
      </c>
      <c r="B24" t="s">
        <v>47</v>
      </c>
      <c r="C24" t="str">
        <f>TEXT(Table1[[#This Row],[Order Date]],"dddd")</f>
        <v>Saturday</v>
      </c>
      <c r="D24" t="str">
        <f>TEXT(Table1[[#This Row],[Order Date]],"mmm")</f>
        <v>Mar</v>
      </c>
      <c r="E24" s="5" t="s">
        <v>147</v>
      </c>
      <c r="F24" s="3" t="s">
        <v>245</v>
      </c>
      <c r="G24" t="s">
        <v>311</v>
      </c>
      <c r="H24" t="s">
        <v>335</v>
      </c>
      <c r="I24" t="str">
        <f>PROPER(TRIM(Table1[[#This Row],[Customer Name]]))</f>
        <v>Amit Verma</v>
      </c>
      <c r="J24" t="s">
        <v>434</v>
      </c>
      <c r="K24" t="s">
        <v>490</v>
      </c>
      <c r="L24" t="s">
        <v>494</v>
      </c>
      <c r="M24" t="s">
        <v>503</v>
      </c>
      <c r="N24" t="s">
        <v>507</v>
      </c>
      <c r="O24">
        <v>459164</v>
      </c>
      <c r="P24" t="s">
        <v>508</v>
      </c>
      <c r="Q24" t="s">
        <v>512</v>
      </c>
      <c r="R24" t="s">
        <v>536</v>
      </c>
      <c r="S24" t="str">
        <f t="shared" si="0"/>
        <v>OFF</v>
      </c>
      <c r="T24" t="str">
        <f t="shared" si="1"/>
        <v>:ART</v>
      </c>
      <c r="U24" t="s">
        <v>623</v>
      </c>
      <c r="V24" t="s">
        <v>632</v>
      </c>
      <c r="W24">
        <v>1412.37</v>
      </c>
      <c r="X24">
        <v>3</v>
      </c>
      <c r="Y24">
        <v>25</v>
      </c>
      <c r="Z24">
        <v>1.01</v>
      </c>
      <c r="AA24">
        <v>92.66</v>
      </c>
      <c r="AB24" t="s">
        <v>637</v>
      </c>
      <c r="AC24">
        <v>2025</v>
      </c>
      <c r="AD24" t="str">
        <f t="shared" si="2"/>
        <v>Mobile Wallets</v>
      </c>
      <c r="AE24" t="s">
        <v>650</v>
      </c>
      <c r="AF24">
        <f t="shared" si="3"/>
        <v>78</v>
      </c>
      <c r="AG24" s="6">
        <f t="shared" si="4"/>
        <v>11969.972307692304</v>
      </c>
      <c r="AH24">
        <f t="shared" si="5"/>
        <v>473</v>
      </c>
      <c r="AI24">
        <f t="shared" si="6"/>
        <v>17.635000000000002</v>
      </c>
      <c r="AJ24">
        <f t="shared" si="7"/>
        <v>41691.120000000003</v>
      </c>
      <c r="AK24">
        <f t="shared" si="8"/>
        <v>68.73</v>
      </c>
      <c r="AL24">
        <f t="shared" si="9"/>
        <v>5</v>
      </c>
      <c r="AM24">
        <f t="shared" si="10"/>
        <v>182</v>
      </c>
      <c r="AN24">
        <f t="shared" si="11"/>
        <v>4237.1099999999997</v>
      </c>
      <c r="AO24">
        <f t="shared" si="12"/>
        <v>1059.2774999999999</v>
      </c>
      <c r="AP24">
        <f t="shared" si="13"/>
        <v>3177.8324999999995</v>
      </c>
      <c r="AQ24">
        <f t="shared" si="14"/>
        <v>3270.4924999999994</v>
      </c>
      <c r="AR24">
        <f t="shared" si="15"/>
        <v>4</v>
      </c>
    </row>
    <row r="25" spans="1:44" x14ac:dyDescent="0.3">
      <c r="A25">
        <v>24</v>
      </c>
      <c r="B25" t="s">
        <v>48</v>
      </c>
      <c r="C25" t="str">
        <f>TEXT(Table1[[#This Row],[Order Date]],"dddd")</f>
        <v>Wednesday</v>
      </c>
      <c r="D25" t="str">
        <f>TEXT(Table1[[#This Row],[Order Date]],"mmm")</f>
        <v>Mar</v>
      </c>
      <c r="E25" s="5" t="s">
        <v>148</v>
      </c>
      <c r="F25" s="3" t="s">
        <v>149</v>
      </c>
      <c r="G25" t="s">
        <v>312</v>
      </c>
      <c r="H25" t="s">
        <v>336</v>
      </c>
      <c r="I25" t="str">
        <f>PROPER(TRIM(Table1[[#This Row],[Customer Name]]))</f>
        <v>Amit Gupta</v>
      </c>
      <c r="J25" t="s">
        <v>435</v>
      </c>
      <c r="K25" t="s">
        <v>491</v>
      </c>
      <c r="L25" t="s">
        <v>496</v>
      </c>
      <c r="M25" t="s">
        <v>504</v>
      </c>
      <c r="N25" t="s">
        <v>507</v>
      </c>
      <c r="O25">
        <v>451935</v>
      </c>
      <c r="P25" t="s">
        <v>508</v>
      </c>
      <c r="Q25" t="s">
        <v>511</v>
      </c>
      <c r="R25" t="s">
        <v>537</v>
      </c>
      <c r="S25" t="str">
        <f t="shared" si="0"/>
        <v>FUR</v>
      </c>
      <c r="T25" t="str">
        <f t="shared" si="1"/>
        <v>:CH</v>
      </c>
      <c r="U25" t="s">
        <v>615</v>
      </c>
      <c r="V25" t="s">
        <v>627</v>
      </c>
      <c r="W25">
        <v>6789.8</v>
      </c>
      <c r="X25">
        <v>6</v>
      </c>
      <c r="Y25">
        <v>0</v>
      </c>
      <c r="Z25">
        <v>24.16</v>
      </c>
      <c r="AA25">
        <v>2407.66</v>
      </c>
      <c r="AB25" t="s">
        <v>636</v>
      </c>
      <c r="AC25">
        <v>2025</v>
      </c>
      <c r="AD25" t="str">
        <f t="shared" si="2"/>
        <v>Debit Card</v>
      </c>
      <c r="AE25" t="s">
        <v>647</v>
      </c>
      <c r="AF25">
        <f t="shared" si="3"/>
        <v>77</v>
      </c>
      <c r="AG25" s="6">
        <f t="shared" si="4"/>
        <v>12107.084025974023</v>
      </c>
      <c r="AH25">
        <f t="shared" si="5"/>
        <v>470</v>
      </c>
      <c r="AI25">
        <f t="shared" si="6"/>
        <v>17.850909090909095</v>
      </c>
      <c r="AJ25">
        <f t="shared" si="7"/>
        <v>41691.120000000003</v>
      </c>
      <c r="AK25">
        <f t="shared" si="8"/>
        <v>68.73</v>
      </c>
      <c r="AL25">
        <f t="shared" si="9"/>
        <v>5</v>
      </c>
      <c r="AM25">
        <f t="shared" si="10"/>
        <v>182</v>
      </c>
      <c r="AN25">
        <f t="shared" si="11"/>
        <v>40738.800000000003</v>
      </c>
      <c r="AO25">
        <f t="shared" si="12"/>
        <v>0</v>
      </c>
      <c r="AP25">
        <f t="shared" si="13"/>
        <v>40738.800000000003</v>
      </c>
      <c r="AQ25">
        <f t="shared" si="14"/>
        <v>43146.460000000006</v>
      </c>
      <c r="AR25">
        <f t="shared" si="15"/>
        <v>4</v>
      </c>
    </row>
    <row r="26" spans="1:44" x14ac:dyDescent="0.3">
      <c r="A26">
        <v>25</v>
      </c>
      <c r="B26" t="s">
        <v>49</v>
      </c>
      <c r="C26" t="str">
        <f>TEXT(Table1[[#This Row],[Order Date]],"dddd")</f>
        <v>Sunday</v>
      </c>
      <c r="D26" t="str">
        <f>TEXT(Table1[[#This Row],[Order Date]],"mmm")</f>
        <v>Mar</v>
      </c>
      <c r="E26" s="5" t="s">
        <v>149</v>
      </c>
      <c r="F26" s="3" t="s">
        <v>246</v>
      </c>
      <c r="G26" t="s">
        <v>311</v>
      </c>
      <c r="H26" t="s">
        <v>337</v>
      </c>
      <c r="I26" t="str">
        <f>PROPER(TRIM(Table1[[#This Row],[Customer Name]]))</f>
        <v>Vivaan Malhotra</v>
      </c>
      <c r="J26" t="s">
        <v>436</v>
      </c>
      <c r="K26" t="s">
        <v>492</v>
      </c>
      <c r="L26" t="s">
        <v>499</v>
      </c>
      <c r="M26" t="s">
        <v>505</v>
      </c>
      <c r="N26" t="s">
        <v>507</v>
      </c>
      <c r="O26">
        <v>595968</v>
      </c>
      <c r="P26" t="s">
        <v>508</v>
      </c>
      <c r="Q26" t="s">
        <v>512</v>
      </c>
      <c r="R26" t="s">
        <v>538</v>
      </c>
      <c r="S26" t="str">
        <f t="shared" si="0"/>
        <v>FUR</v>
      </c>
      <c r="T26" t="str">
        <f t="shared" si="1"/>
        <v>:TBL</v>
      </c>
      <c r="U26" t="s">
        <v>617</v>
      </c>
      <c r="V26" t="s">
        <v>631</v>
      </c>
      <c r="W26">
        <v>2996.12</v>
      </c>
      <c r="X26">
        <v>2</v>
      </c>
      <c r="Y26">
        <v>15</v>
      </c>
      <c r="Z26">
        <v>-6.19</v>
      </c>
      <c r="AA26">
        <v>252.34</v>
      </c>
      <c r="AB26" t="s">
        <v>635</v>
      </c>
      <c r="AC26">
        <v>2025</v>
      </c>
      <c r="AD26" t="str">
        <f t="shared" si="2"/>
        <v>Credit Card</v>
      </c>
      <c r="AE26" t="s">
        <v>645</v>
      </c>
      <c r="AF26">
        <f t="shared" si="3"/>
        <v>76</v>
      </c>
      <c r="AG26" s="6">
        <f t="shared" si="4"/>
        <v>12177.04828947368</v>
      </c>
      <c r="AH26">
        <f t="shared" si="5"/>
        <v>464</v>
      </c>
      <c r="AI26">
        <f t="shared" si="6"/>
        <v>17.767894736842106</v>
      </c>
      <c r="AJ26">
        <f t="shared" si="7"/>
        <v>41691.120000000003</v>
      </c>
      <c r="AK26">
        <f t="shared" si="8"/>
        <v>68.73</v>
      </c>
      <c r="AL26">
        <f t="shared" si="9"/>
        <v>5</v>
      </c>
      <c r="AM26">
        <f t="shared" si="10"/>
        <v>182</v>
      </c>
      <c r="AN26">
        <f t="shared" si="11"/>
        <v>5992.24</v>
      </c>
      <c r="AO26">
        <f t="shared" si="12"/>
        <v>898.8359999999999</v>
      </c>
      <c r="AP26">
        <f t="shared" si="13"/>
        <v>5093.4039999999995</v>
      </c>
      <c r="AQ26">
        <f t="shared" si="14"/>
        <v>5345.7439999999997</v>
      </c>
      <c r="AR26">
        <f t="shared" si="15"/>
        <v>6</v>
      </c>
    </row>
    <row r="27" spans="1:44" x14ac:dyDescent="0.3">
      <c r="A27">
        <v>26</v>
      </c>
      <c r="B27" t="s">
        <v>50</v>
      </c>
      <c r="C27" t="str">
        <f>TEXT(Table1[[#This Row],[Order Date]],"dddd")</f>
        <v>Wednesday</v>
      </c>
      <c r="D27" t="str">
        <f>TEXT(Table1[[#This Row],[Order Date]],"mmm")</f>
        <v>Apr</v>
      </c>
      <c r="E27" s="5" t="s">
        <v>150</v>
      </c>
      <c r="F27" s="3" t="s">
        <v>247</v>
      </c>
      <c r="G27" t="s">
        <v>311</v>
      </c>
      <c r="H27" t="s">
        <v>338</v>
      </c>
      <c r="I27" t="str">
        <f>PROPER(TRIM(Table1[[#This Row],[Customer Name]]))</f>
        <v>Sai Sharma</v>
      </c>
      <c r="J27" t="s">
        <v>437</v>
      </c>
      <c r="K27" t="s">
        <v>492</v>
      </c>
      <c r="L27" t="s">
        <v>499</v>
      </c>
      <c r="M27" t="s">
        <v>506</v>
      </c>
      <c r="N27" t="s">
        <v>507</v>
      </c>
      <c r="O27">
        <v>716243</v>
      </c>
      <c r="P27" t="s">
        <v>508</v>
      </c>
      <c r="Q27" t="s">
        <v>513</v>
      </c>
      <c r="R27" t="s">
        <v>539</v>
      </c>
      <c r="S27" t="str">
        <f t="shared" si="0"/>
        <v>TEC</v>
      </c>
      <c r="T27" t="str">
        <f t="shared" si="1"/>
        <v>:MON</v>
      </c>
      <c r="U27" t="s">
        <v>614</v>
      </c>
      <c r="V27" t="s">
        <v>627</v>
      </c>
      <c r="W27">
        <v>7624.56</v>
      </c>
      <c r="X27">
        <v>3</v>
      </c>
      <c r="Y27">
        <v>20</v>
      </c>
      <c r="Z27">
        <v>32.56</v>
      </c>
      <c r="AA27">
        <v>1643.74</v>
      </c>
      <c r="AB27" t="s">
        <v>638</v>
      </c>
      <c r="AC27">
        <v>2025</v>
      </c>
      <c r="AD27" t="str">
        <f t="shared" si="2"/>
        <v>Debit Card</v>
      </c>
      <c r="AE27" t="s">
        <v>647</v>
      </c>
      <c r="AF27">
        <f t="shared" si="3"/>
        <v>75</v>
      </c>
      <c r="AG27" s="6">
        <f t="shared" si="4"/>
        <v>12299.460666666662</v>
      </c>
      <c r="AH27">
        <f t="shared" si="5"/>
        <v>462</v>
      </c>
      <c r="AI27">
        <f t="shared" si="6"/>
        <v>18.087333333333333</v>
      </c>
      <c r="AJ27">
        <f t="shared" si="7"/>
        <v>41691.120000000003</v>
      </c>
      <c r="AK27">
        <f t="shared" si="8"/>
        <v>68.73</v>
      </c>
      <c r="AL27">
        <f t="shared" si="9"/>
        <v>5</v>
      </c>
      <c r="AM27">
        <f t="shared" si="10"/>
        <v>182</v>
      </c>
      <c r="AN27">
        <f t="shared" si="11"/>
        <v>22873.68</v>
      </c>
      <c r="AO27">
        <f t="shared" si="12"/>
        <v>4574.7359999999999</v>
      </c>
      <c r="AP27">
        <f t="shared" si="13"/>
        <v>18298.944</v>
      </c>
      <c r="AQ27">
        <f t="shared" si="14"/>
        <v>19942.684000000001</v>
      </c>
      <c r="AR27">
        <f t="shared" si="15"/>
        <v>5</v>
      </c>
    </row>
    <row r="28" spans="1:44" x14ac:dyDescent="0.3">
      <c r="A28">
        <v>27</v>
      </c>
      <c r="B28" t="s">
        <v>51</v>
      </c>
      <c r="C28" t="str">
        <f>TEXT(Table1[[#This Row],[Order Date]],"dddd")</f>
        <v>Sunday</v>
      </c>
      <c r="D28" t="str">
        <f>TEXT(Table1[[#This Row],[Order Date]],"mmm")</f>
        <v>Apr</v>
      </c>
      <c r="E28" s="5" t="s">
        <v>151</v>
      </c>
      <c r="F28" s="3" t="s">
        <v>248</v>
      </c>
      <c r="G28" t="s">
        <v>312</v>
      </c>
      <c r="H28" t="s">
        <v>339</v>
      </c>
      <c r="I28" t="str">
        <f>PROPER(TRIM(Table1[[#This Row],[Customer Name]]))</f>
        <v>Priya Patel</v>
      </c>
      <c r="J28" t="s">
        <v>438</v>
      </c>
      <c r="K28" t="s">
        <v>491</v>
      </c>
      <c r="L28" t="s">
        <v>497</v>
      </c>
      <c r="M28" t="s">
        <v>506</v>
      </c>
      <c r="N28" t="s">
        <v>507</v>
      </c>
      <c r="O28">
        <v>405487</v>
      </c>
      <c r="P28" t="s">
        <v>508</v>
      </c>
      <c r="Q28" t="s">
        <v>513</v>
      </c>
      <c r="R28" t="s">
        <v>540</v>
      </c>
      <c r="S28" t="str">
        <f t="shared" si="0"/>
        <v>OFF</v>
      </c>
      <c r="T28" t="str">
        <f t="shared" si="1"/>
        <v>:BIN</v>
      </c>
      <c r="U28" t="s">
        <v>625</v>
      </c>
      <c r="V28" t="s">
        <v>634</v>
      </c>
      <c r="W28">
        <v>11811.42</v>
      </c>
      <c r="X28">
        <v>5</v>
      </c>
      <c r="Y28">
        <v>0</v>
      </c>
      <c r="Z28">
        <v>14.76</v>
      </c>
      <c r="AA28">
        <v>2857.93</v>
      </c>
      <c r="AB28" t="s">
        <v>638</v>
      </c>
      <c r="AC28">
        <v>2025</v>
      </c>
      <c r="AD28" t="str">
        <f t="shared" si="2"/>
        <v>Gift Cards</v>
      </c>
      <c r="AE28" t="s">
        <v>646</v>
      </c>
      <c r="AF28">
        <f t="shared" si="3"/>
        <v>74</v>
      </c>
      <c r="AG28" s="6">
        <f t="shared" si="4"/>
        <v>12362.634999999997</v>
      </c>
      <c r="AH28">
        <f t="shared" si="5"/>
        <v>459</v>
      </c>
      <c r="AI28">
        <f t="shared" si="6"/>
        <v>17.891756756756759</v>
      </c>
      <c r="AJ28">
        <f t="shared" si="7"/>
        <v>41691.120000000003</v>
      </c>
      <c r="AK28">
        <f t="shared" si="8"/>
        <v>68.73</v>
      </c>
      <c r="AL28">
        <f t="shared" si="9"/>
        <v>5</v>
      </c>
      <c r="AM28">
        <f t="shared" si="10"/>
        <v>182</v>
      </c>
      <c r="AN28">
        <f t="shared" si="11"/>
        <v>59057.1</v>
      </c>
      <c r="AO28">
        <f t="shared" si="12"/>
        <v>0</v>
      </c>
      <c r="AP28">
        <f t="shared" si="13"/>
        <v>59057.1</v>
      </c>
      <c r="AQ28">
        <f t="shared" si="14"/>
        <v>61915.03</v>
      </c>
      <c r="AR28">
        <f t="shared" si="15"/>
        <v>6</v>
      </c>
    </row>
    <row r="29" spans="1:44" x14ac:dyDescent="0.3">
      <c r="A29">
        <v>28</v>
      </c>
      <c r="B29" t="s">
        <v>52</v>
      </c>
      <c r="C29" t="str">
        <f>TEXT(Table1[[#This Row],[Order Date]],"dddd")</f>
        <v>Thursday</v>
      </c>
      <c r="D29" t="str">
        <f>TEXT(Table1[[#This Row],[Order Date]],"mmm")</f>
        <v>Apr</v>
      </c>
      <c r="E29" s="5" t="s">
        <v>152</v>
      </c>
      <c r="F29" s="3" t="s">
        <v>249</v>
      </c>
      <c r="G29" t="s">
        <v>312</v>
      </c>
      <c r="H29" t="s">
        <v>340</v>
      </c>
      <c r="I29" t="str">
        <f>PROPER(TRIM(Table1[[#This Row],[Customer Name]]))</f>
        <v>Ishaan Gupta</v>
      </c>
      <c r="J29" t="s">
        <v>417</v>
      </c>
      <c r="K29" t="s">
        <v>491</v>
      </c>
      <c r="L29" t="s">
        <v>495</v>
      </c>
      <c r="M29" t="s">
        <v>502</v>
      </c>
      <c r="N29" t="s">
        <v>507</v>
      </c>
      <c r="O29">
        <v>539408</v>
      </c>
      <c r="P29" t="s">
        <v>508</v>
      </c>
      <c r="Q29" t="s">
        <v>509</v>
      </c>
      <c r="R29" t="s">
        <v>541</v>
      </c>
      <c r="S29" t="str">
        <f t="shared" si="0"/>
        <v>OFF</v>
      </c>
      <c r="T29" t="str">
        <f t="shared" si="1"/>
        <v>:CAB</v>
      </c>
      <c r="U29" t="s">
        <v>624</v>
      </c>
      <c r="V29" t="s">
        <v>629</v>
      </c>
      <c r="W29">
        <v>48534.05</v>
      </c>
      <c r="X29">
        <v>11</v>
      </c>
      <c r="Y29">
        <v>25</v>
      </c>
      <c r="Z29">
        <v>14.03</v>
      </c>
      <c r="AA29">
        <v>41691.120000000003</v>
      </c>
      <c r="AB29" t="s">
        <v>638</v>
      </c>
      <c r="AC29">
        <v>2025</v>
      </c>
      <c r="AD29" t="str">
        <f t="shared" si="2"/>
        <v>Cash/Cheque</v>
      </c>
      <c r="AE29" t="s">
        <v>649</v>
      </c>
      <c r="AF29">
        <f t="shared" si="3"/>
        <v>73</v>
      </c>
      <c r="AG29" s="6">
        <f t="shared" si="4"/>
        <v>12370.185890410956</v>
      </c>
      <c r="AH29">
        <f t="shared" si="5"/>
        <v>454</v>
      </c>
      <c r="AI29">
        <f t="shared" si="6"/>
        <v>17.934657534246579</v>
      </c>
      <c r="AJ29">
        <f t="shared" si="7"/>
        <v>41691.120000000003</v>
      </c>
      <c r="AK29">
        <f t="shared" si="8"/>
        <v>68.73</v>
      </c>
      <c r="AL29">
        <f t="shared" si="9"/>
        <v>5</v>
      </c>
      <c r="AM29">
        <f t="shared" si="10"/>
        <v>177</v>
      </c>
      <c r="AN29">
        <f t="shared" si="11"/>
        <v>533874.55000000005</v>
      </c>
      <c r="AO29">
        <f t="shared" si="12"/>
        <v>133468.63750000001</v>
      </c>
      <c r="AP29">
        <f t="shared" si="13"/>
        <v>400405.91250000003</v>
      </c>
      <c r="AQ29">
        <f t="shared" si="14"/>
        <v>442097.03250000003</v>
      </c>
      <c r="AR29">
        <f t="shared" si="15"/>
        <v>5</v>
      </c>
    </row>
    <row r="30" spans="1:44" x14ac:dyDescent="0.3">
      <c r="A30">
        <v>29</v>
      </c>
      <c r="B30" t="s">
        <v>53</v>
      </c>
      <c r="C30" t="str">
        <f>TEXT(Table1[[#This Row],[Order Date]],"dddd")</f>
        <v>Sunday</v>
      </c>
      <c r="D30" t="str">
        <f>TEXT(Table1[[#This Row],[Order Date]],"mmm")</f>
        <v>Apr</v>
      </c>
      <c r="E30" s="5" t="s">
        <v>153</v>
      </c>
      <c r="F30" s="3" t="s">
        <v>250</v>
      </c>
      <c r="G30" t="s">
        <v>309</v>
      </c>
      <c r="H30" t="s">
        <v>341</v>
      </c>
      <c r="I30" t="str">
        <f>PROPER(TRIM(Table1[[#This Row],[Customer Name]]))</f>
        <v>Rohan Mehta</v>
      </c>
      <c r="J30" t="s">
        <v>418</v>
      </c>
      <c r="K30" t="s">
        <v>490</v>
      </c>
      <c r="L30" t="s">
        <v>494</v>
      </c>
      <c r="M30" t="s">
        <v>496</v>
      </c>
      <c r="N30" t="s">
        <v>507</v>
      </c>
      <c r="O30">
        <v>749045</v>
      </c>
      <c r="P30" t="s">
        <v>508</v>
      </c>
      <c r="Q30" t="s">
        <v>512</v>
      </c>
      <c r="R30" t="s">
        <v>542</v>
      </c>
      <c r="S30" t="str">
        <f t="shared" si="0"/>
        <v>OFF</v>
      </c>
      <c r="T30" t="str">
        <f t="shared" si="1"/>
        <v>:ART</v>
      </c>
      <c r="U30" t="s">
        <v>623</v>
      </c>
      <c r="V30" t="s">
        <v>633</v>
      </c>
      <c r="W30">
        <v>19674.54</v>
      </c>
      <c r="X30">
        <v>11</v>
      </c>
      <c r="Y30">
        <v>0</v>
      </c>
      <c r="Z30">
        <v>19.62</v>
      </c>
      <c r="AA30">
        <v>6737.48</v>
      </c>
      <c r="AB30" t="s">
        <v>635</v>
      </c>
      <c r="AC30">
        <v>2025</v>
      </c>
      <c r="AD30" t="str">
        <f t="shared" si="2"/>
        <v>Net Banking</v>
      </c>
      <c r="AE30" t="s">
        <v>639</v>
      </c>
      <c r="AF30">
        <f t="shared" si="3"/>
        <v>72</v>
      </c>
      <c r="AG30" s="6">
        <f t="shared" si="4"/>
        <v>11867.909999999996</v>
      </c>
      <c r="AH30">
        <f t="shared" si="5"/>
        <v>443</v>
      </c>
      <c r="AI30">
        <f t="shared" si="6"/>
        <v>17.988888888888894</v>
      </c>
      <c r="AJ30">
        <f t="shared" si="7"/>
        <v>29145.23</v>
      </c>
      <c r="AK30">
        <f t="shared" si="8"/>
        <v>68.73</v>
      </c>
      <c r="AL30">
        <f t="shared" si="9"/>
        <v>5</v>
      </c>
      <c r="AM30">
        <f t="shared" si="10"/>
        <v>166</v>
      </c>
      <c r="AN30">
        <f t="shared" si="11"/>
        <v>216419.94</v>
      </c>
      <c r="AO30">
        <f t="shared" si="12"/>
        <v>0</v>
      </c>
      <c r="AP30">
        <f t="shared" si="13"/>
        <v>216419.94</v>
      </c>
      <c r="AQ30">
        <f t="shared" si="14"/>
        <v>223157.42</v>
      </c>
      <c r="AR30">
        <f t="shared" si="15"/>
        <v>6</v>
      </c>
    </row>
    <row r="31" spans="1:44" x14ac:dyDescent="0.3">
      <c r="A31">
        <v>30</v>
      </c>
      <c r="B31" t="s">
        <v>54</v>
      </c>
      <c r="C31" t="str">
        <f>TEXT(Table1[[#This Row],[Order Date]],"dddd")</f>
        <v>Thursday</v>
      </c>
      <c r="D31" t="str">
        <f>TEXT(Table1[[#This Row],[Order Date]],"mmm")</f>
        <v>Apr</v>
      </c>
      <c r="E31" s="5" t="s">
        <v>154</v>
      </c>
      <c r="F31" s="3" t="s">
        <v>251</v>
      </c>
      <c r="G31" t="s">
        <v>311</v>
      </c>
      <c r="H31" t="s">
        <v>342</v>
      </c>
      <c r="I31" t="str">
        <f>PROPER(TRIM(Table1[[#This Row],[Customer Name]]))</f>
        <v>Vihaan Nair</v>
      </c>
      <c r="J31" t="s">
        <v>439</v>
      </c>
      <c r="K31" t="s">
        <v>491</v>
      </c>
      <c r="L31" t="s">
        <v>497</v>
      </c>
      <c r="M31" t="s">
        <v>506</v>
      </c>
      <c r="N31" t="s">
        <v>507</v>
      </c>
      <c r="O31">
        <v>526021</v>
      </c>
      <c r="P31" t="s">
        <v>508</v>
      </c>
      <c r="Q31" t="s">
        <v>509</v>
      </c>
      <c r="R31" t="s">
        <v>543</v>
      </c>
      <c r="S31" t="str">
        <f t="shared" si="0"/>
        <v>TEC</v>
      </c>
      <c r="T31" t="str">
        <f t="shared" si="1"/>
        <v>:MON</v>
      </c>
      <c r="U31" t="s">
        <v>614</v>
      </c>
      <c r="V31" t="s">
        <v>629</v>
      </c>
      <c r="W31">
        <v>43576.36</v>
      </c>
      <c r="X31">
        <v>1</v>
      </c>
      <c r="Y31">
        <v>10</v>
      </c>
      <c r="Z31">
        <v>31.23</v>
      </c>
      <c r="AA31">
        <v>3142.61</v>
      </c>
      <c r="AB31" t="s">
        <v>636</v>
      </c>
      <c r="AC31">
        <v>2025</v>
      </c>
      <c r="AD31" t="str">
        <f t="shared" si="2"/>
        <v>Mobile Wallets</v>
      </c>
      <c r="AE31" t="s">
        <v>650</v>
      </c>
      <c r="AF31">
        <f t="shared" si="3"/>
        <v>71</v>
      </c>
      <c r="AG31" s="6">
        <f t="shared" si="4"/>
        <v>11757.957464788728</v>
      </c>
      <c r="AH31">
        <f t="shared" si="5"/>
        <v>432</v>
      </c>
      <c r="AI31">
        <f t="shared" si="6"/>
        <v>17.965915492957752</v>
      </c>
      <c r="AJ31">
        <f t="shared" si="7"/>
        <v>29145.23</v>
      </c>
      <c r="AK31">
        <f t="shared" si="8"/>
        <v>68.73</v>
      </c>
      <c r="AL31">
        <f t="shared" si="9"/>
        <v>5</v>
      </c>
      <c r="AM31">
        <f t="shared" si="10"/>
        <v>155</v>
      </c>
      <c r="AN31">
        <f t="shared" si="11"/>
        <v>43576.36</v>
      </c>
      <c r="AO31">
        <f t="shared" si="12"/>
        <v>4357.6359999999995</v>
      </c>
      <c r="AP31">
        <f t="shared" si="13"/>
        <v>39218.724000000002</v>
      </c>
      <c r="AQ31">
        <f t="shared" si="14"/>
        <v>42361.334000000003</v>
      </c>
      <c r="AR31">
        <f t="shared" si="15"/>
        <v>3</v>
      </c>
    </row>
    <row r="32" spans="1:44" x14ac:dyDescent="0.3">
      <c r="A32">
        <v>31</v>
      </c>
      <c r="B32" t="s">
        <v>55</v>
      </c>
      <c r="C32" t="str">
        <f>TEXT(Table1[[#This Row],[Order Date]],"dddd")</f>
        <v>Monday</v>
      </c>
      <c r="D32" t="str">
        <f>TEXT(Table1[[#This Row],[Order Date]],"mmm")</f>
        <v>Apr</v>
      </c>
      <c r="E32" s="5" t="s">
        <v>155</v>
      </c>
      <c r="F32" s="3" t="s">
        <v>252</v>
      </c>
      <c r="G32" t="s">
        <v>310</v>
      </c>
      <c r="H32" t="s">
        <v>343</v>
      </c>
      <c r="I32" t="str">
        <f>PROPER(TRIM(Table1[[#This Row],[Customer Name]]))</f>
        <v>Rohan Nair</v>
      </c>
      <c r="J32" t="s">
        <v>440</v>
      </c>
      <c r="K32" t="s">
        <v>490</v>
      </c>
      <c r="L32" t="s">
        <v>498</v>
      </c>
      <c r="M32" t="s">
        <v>501</v>
      </c>
      <c r="N32" t="s">
        <v>507</v>
      </c>
      <c r="O32">
        <v>502796</v>
      </c>
      <c r="P32" t="s">
        <v>508</v>
      </c>
      <c r="Q32" t="s">
        <v>510</v>
      </c>
      <c r="R32" t="s">
        <v>544</v>
      </c>
      <c r="S32" t="str">
        <f t="shared" si="0"/>
        <v>TEC</v>
      </c>
      <c r="T32" t="str">
        <f t="shared" si="1"/>
        <v>:PH</v>
      </c>
      <c r="U32" t="s">
        <v>626</v>
      </c>
      <c r="V32" t="s">
        <v>631</v>
      </c>
      <c r="W32">
        <v>3046.03</v>
      </c>
      <c r="X32">
        <v>1</v>
      </c>
      <c r="Y32">
        <v>20</v>
      </c>
      <c r="Z32">
        <v>7.39</v>
      </c>
      <c r="AA32">
        <v>202.85</v>
      </c>
      <c r="AB32" t="s">
        <v>638</v>
      </c>
      <c r="AC32">
        <v>2025</v>
      </c>
      <c r="AD32" t="str">
        <f t="shared" si="2"/>
        <v>BNPL</v>
      </c>
      <c r="AE32" t="s">
        <v>640</v>
      </c>
      <c r="AF32">
        <f t="shared" si="3"/>
        <v>70</v>
      </c>
      <c r="AG32" s="6">
        <f t="shared" si="4"/>
        <v>11303.408857142853</v>
      </c>
      <c r="AH32">
        <f t="shared" si="5"/>
        <v>431</v>
      </c>
      <c r="AI32">
        <f t="shared" si="6"/>
        <v>17.776428571428575</v>
      </c>
      <c r="AJ32">
        <f t="shared" si="7"/>
        <v>29145.23</v>
      </c>
      <c r="AK32">
        <f t="shared" si="8"/>
        <v>68.73</v>
      </c>
      <c r="AL32">
        <f t="shared" si="9"/>
        <v>5</v>
      </c>
      <c r="AM32">
        <f t="shared" si="10"/>
        <v>154</v>
      </c>
      <c r="AN32">
        <f t="shared" si="11"/>
        <v>3046.03</v>
      </c>
      <c r="AO32">
        <f t="shared" si="12"/>
        <v>609.20600000000002</v>
      </c>
      <c r="AP32">
        <f t="shared" si="13"/>
        <v>2436.8240000000001</v>
      </c>
      <c r="AQ32">
        <f t="shared" si="14"/>
        <v>2639.674</v>
      </c>
      <c r="AR32">
        <f t="shared" si="15"/>
        <v>4</v>
      </c>
    </row>
    <row r="33" spans="1:44" x14ac:dyDescent="0.3">
      <c r="A33">
        <v>32</v>
      </c>
      <c r="B33" t="s">
        <v>56</v>
      </c>
      <c r="C33" t="str">
        <f>TEXT(Table1[[#This Row],[Order Date]],"dddd")</f>
        <v>Thursday</v>
      </c>
      <c r="D33" t="str">
        <f>TEXT(Table1[[#This Row],[Order Date]],"mmm")</f>
        <v>Apr</v>
      </c>
      <c r="E33" s="5" t="s">
        <v>156</v>
      </c>
      <c r="F33" s="3" t="s">
        <v>252</v>
      </c>
      <c r="G33" t="s">
        <v>312</v>
      </c>
      <c r="H33" t="s">
        <v>344</v>
      </c>
      <c r="I33" t="str">
        <f>PROPER(TRIM(Table1[[#This Row],[Customer Name]]))</f>
        <v>Rohan Malhotra</v>
      </c>
      <c r="J33" t="s">
        <v>441</v>
      </c>
      <c r="K33" t="s">
        <v>490</v>
      </c>
      <c r="L33" t="s">
        <v>498</v>
      </c>
      <c r="M33" t="s">
        <v>506</v>
      </c>
      <c r="N33" t="s">
        <v>507</v>
      </c>
      <c r="O33">
        <v>620185</v>
      </c>
      <c r="P33" t="s">
        <v>508</v>
      </c>
      <c r="Q33" t="s">
        <v>512</v>
      </c>
      <c r="R33" t="s">
        <v>545</v>
      </c>
      <c r="S33" t="str">
        <f t="shared" si="0"/>
        <v>TEC</v>
      </c>
      <c r="T33" t="str">
        <f t="shared" si="1"/>
        <v>:PH</v>
      </c>
      <c r="U33" t="s">
        <v>626</v>
      </c>
      <c r="V33" t="s">
        <v>629</v>
      </c>
      <c r="W33">
        <v>43917.23</v>
      </c>
      <c r="X33">
        <v>10</v>
      </c>
      <c r="Y33">
        <v>25</v>
      </c>
      <c r="Z33">
        <v>23.9</v>
      </c>
      <c r="AA33">
        <v>29097.5</v>
      </c>
      <c r="AB33" t="s">
        <v>637</v>
      </c>
      <c r="AC33">
        <v>2025</v>
      </c>
      <c r="AD33" t="str">
        <f t="shared" si="2"/>
        <v>Mobile Wallets</v>
      </c>
      <c r="AE33" t="s">
        <v>650</v>
      </c>
      <c r="AF33">
        <f t="shared" si="3"/>
        <v>69</v>
      </c>
      <c r="AG33" s="6">
        <f t="shared" si="4"/>
        <v>11423.081014492749</v>
      </c>
      <c r="AH33">
        <f t="shared" si="5"/>
        <v>430</v>
      </c>
      <c r="AI33">
        <f t="shared" si="6"/>
        <v>17.926956521739129</v>
      </c>
      <c r="AJ33">
        <f t="shared" si="7"/>
        <v>29145.23</v>
      </c>
      <c r="AK33">
        <f t="shared" si="8"/>
        <v>68.73</v>
      </c>
      <c r="AL33">
        <f t="shared" si="9"/>
        <v>5</v>
      </c>
      <c r="AM33">
        <f t="shared" si="10"/>
        <v>154</v>
      </c>
      <c r="AN33">
        <f t="shared" si="11"/>
        <v>439172.30000000005</v>
      </c>
      <c r="AO33">
        <f t="shared" si="12"/>
        <v>109793.07500000001</v>
      </c>
      <c r="AP33">
        <f t="shared" si="13"/>
        <v>329379.22500000003</v>
      </c>
      <c r="AQ33">
        <f t="shared" si="14"/>
        <v>358476.72500000003</v>
      </c>
      <c r="AR33">
        <f t="shared" si="15"/>
        <v>1</v>
      </c>
    </row>
    <row r="34" spans="1:44" x14ac:dyDescent="0.3">
      <c r="A34">
        <v>33</v>
      </c>
      <c r="B34" t="s">
        <v>57</v>
      </c>
      <c r="C34" t="str">
        <f>TEXT(Table1[[#This Row],[Order Date]],"dddd")</f>
        <v>Monday</v>
      </c>
      <c r="D34" t="str">
        <f>TEXT(Table1[[#This Row],[Order Date]],"mmm")</f>
        <v>Apr</v>
      </c>
      <c r="E34" s="5" t="s">
        <v>157</v>
      </c>
      <c r="F34" s="3" t="s">
        <v>253</v>
      </c>
      <c r="G34" t="s">
        <v>309</v>
      </c>
      <c r="H34" t="s">
        <v>345</v>
      </c>
      <c r="I34" t="str">
        <f>PROPER(TRIM(Table1[[#This Row],[Customer Name]]))</f>
        <v>Arjun Verma</v>
      </c>
      <c r="J34" t="s">
        <v>442</v>
      </c>
      <c r="K34" t="s">
        <v>492</v>
      </c>
      <c r="L34" t="s">
        <v>498</v>
      </c>
      <c r="M34" t="s">
        <v>506</v>
      </c>
      <c r="N34" t="s">
        <v>507</v>
      </c>
      <c r="O34">
        <v>542203</v>
      </c>
      <c r="P34" t="s">
        <v>508</v>
      </c>
      <c r="Q34" t="s">
        <v>511</v>
      </c>
      <c r="R34" t="s">
        <v>546</v>
      </c>
      <c r="S34" t="str">
        <f t="shared" ref="S34:S65" si="16">LEFT(U34,3)</f>
        <v>TEC</v>
      </c>
      <c r="T34" t="str">
        <f t="shared" ref="T34:T65" si="17">RIGHT(U34,LEN(U34)-4)</f>
        <v>:MSW</v>
      </c>
      <c r="U34" t="s">
        <v>616</v>
      </c>
      <c r="V34" t="s">
        <v>629</v>
      </c>
      <c r="W34">
        <v>45812.65</v>
      </c>
      <c r="X34">
        <v>9</v>
      </c>
      <c r="Y34">
        <v>25</v>
      </c>
      <c r="Z34">
        <v>18.29</v>
      </c>
      <c r="AA34">
        <v>29145.23</v>
      </c>
      <c r="AB34" t="s">
        <v>638</v>
      </c>
      <c r="AC34">
        <v>2025</v>
      </c>
      <c r="AD34" t="str">
        <f t="shared" ref="AD34:AD65" si="18">IF(LOWER(TRIM(AE34))="upi","UPI",IF(LOWER(TRIM(AE34))="debit card","Debit Card",IF(LOWER(TRIM(AE34))="cash","Cash/Cheque",TRIM(AE34))))</f>
        <v>Gift Cards</v>
      </c>
      <c r="AE34" t="s">
        <v>646</v>
      </c>
      <c r="AF34">
        <f t="shared" ref="AF34:AF65" si="19">COUNTA(B34:B134)</f>
        <v>68</v>
      </c>
      <c r="AG34" s="6">
        <f t="shared" ref="AG34:AG65" si="20">AVERAGE(W34:W134)</f>
        <v>10945.225882352939</v>
      </c>
      <c r="AH34">
        <f t="shared" ref="AH34:AH65" si="21">SUM(X34:X134)</f>
        <v>420</v>
      </c>
      <c r="AI34">
        <f t="shared" ref="AI34:AI65" si="22">AVERAGE(Z34:Z134)</f>
        <v>17.839117647058824</v>
      </c>
      <c r="AJ34">
        <f t="shared" ref="AJ34:AJ65" si="23">MAX(AA34:AA134)</f>
        <v>29145.23</v>
      </c>
      <c r="AK34">
        <f t="shared" ref="AK34:AK65" si="24">MIN(AA34:AA134)</f>
        <v>68.73</v>
      </c>
      <c r="AL34">
        <f t="shared" ref="AL34:AL65" si="25">COUNTIF(AD34:AD134,"UPI")</f>
        <v>5</v>
      </c>
      <c r="AM34">
        <f t="shared" ref="AM34:AM65" si="26">SUMIF(W34:W134,"&gt;10000",X34:X134)</f>
        <v>144</v>
      </c>
      <c r="AN34">
        <f t="shared" ref="AN34:AN65" si="27">W34*X34</f>
        <v>412313.85000000003</v>
      </c>
      <c r="AO34">
        <f t="shared" ref="AO34:AO65" si="28">AN34*Y34/100</f>
        <v>103078.46249999999</v>
      </c>
      <c r="AP34">
        <f t="shared" ref="AP34:AP65" si="29">AN34-AO34</f>
        <v>309235.38750000007</v>
      </c>
      <c r="AQ34">
        <f t="shared" ref="AQ34:AQ65" si="30">AP34+AA34</f>
        <v>338380.61750000005</v>
      </c>
      <c r="AR34">
        <f t="shared" ref="AR34:AR65" si="31">F34-E34</f>
        <v>5</v>
      </c>
    </row>
    <row r="35" spans="1:44" x14ac:dyDescent="0.3">
      <c r="A35">
        <v>34</v>
      </c>
      <c r="B35" t="s">
        <v>58</v>
      </c>
      <c r="C35" t="str">
        <f>TEXT(Table1[[#This Row],[Order Date]],"dddd")</f>
        <v>Friday</v>
      </c>
      <c r="D35" t="str">
        <f>TEXT(Table1[[#This Row],[Order Date]],"mmm")</f>
        <v>May</v>
      </c>
      <c r="E35" s="5" t="s">
        <v>158</v>
      </c>
      <c r="F35" s="3" t="s">
        <v>254</v>
      </c>
      <c r="G35" t="s">
        <v>310</v>
      </c>
      <c r="H35" t="s">
        <v>346</v>
      </c>
      <c r="I35" t="str">
        <f>PROPER(TRIM(Table1[[#This Row],[Customer Name]]))</f>
        <v>Sai Mehta</v>
      </c>
      <c r="J35" t="s">
        <v>443</v>
      </c>
      <c r="K35" t="s">
        <v>492</v>
      </c>
      <c r="L35" t="s">
        <v>500</v>
      </c>
      <c r="M35" t="s">
        <v>506</v>
      </c>
      <c r="N35" t="s">
        <v>507</v>
      </c>
      <c r="O35">
        <v>749653</v>
      </c>
      <c r="P35" t="s">
        <v>508</v>
      </c>
      <c r="Q35" t="s">
        <v>510</v>
      </c>
      <c r="R35" t="s">
        <v>547</v>
      </c>
      <c r="S35" t="str">
        <f t="shared" si="16"/>
        <v>OFF</v>
      </c>
      <c r="T35" t="str">
        <f t="shared" si="17"/>
        <v>:CAB</v>
      </c>
      <c r="U35" t="s">
        <v>624</v>
      </c>
      <c r="V35" t="s">
        <v>631</v>
      </c>
      <c r="W35">
        <v>3051.56</v>
      </c>
      <c r="X35">
        <v>7</v>
      </c>
      <c r="Y35">
        <v>5</v>
      </c>
      <c r="Z35">
        <v>3.35</v>
      </c>
      <c r="AA35">
        <v>1402.59</v>
      </c>
      <c r="AB35" t="s">
        <v>638</v>
      </c>
      <c r="AC35">
        <v>2025</v>
      </c>
      <c r="AD35" t="str">
        <f t="shared" si="18"/>
        <v>Mobile Wallets</v>
      </c>
      <c r="AE35" t="s">
        <v>650</v>
      </c>
      <c r="AF35">
        <f t="shared" si="19"/>
        <v>67</v>
      </c>
      <c r="AG35" s="6">
        <f t="shared" si="20"/>
        <v>10424.816567164178</v>
      </c>
      <c r="AH35">
        <f t="shared" si="21"/>
        <v>411</v>
      </c>
      <c r="AI35">
        <f t="shared" si="22"/>
        <v>17.832388059701493</v>
      </c>
      <c r="AJ35">
        <f t="shared" si="23"/>
        <v>19990.61</v>
      </c>
      <c r="AK35">
        <f t="shared" si="24"/>
        <v>68.73</v>
      </c>
      <c r="AL35">
        <f t="shared" si="25"/>
        <v>5</v>
      </c>
      <c r="AM35">
        <f t="shared" si="26"/>
        <v>135</v>
      </c>
      <c r="AN35">
        <f t="shared" si="27"/>
        <v>21360.92</v>
      </c>
      <c r="AO35">
        <f t="shared" si="28"/>
        <v>1068.0459999999998</v>
      </c>
      <c r="AP35">
        <f t="shared" si="29"/>
        <v>20292.874</v>
      </c>
      <c r="AQ35">
        <f t="shared" si="30"/>
        <v>21695.464</v>
      </c>
      <c r="AR35">
        <f t="shared" si="31"/>
        <v>5</v>
      </c>
    </row>
    <row r="36" spans="1:44" x14ac:dyDescent="0.3">
      <c r="A36">
        <v>35</v>
      </c>
      <c r="B36" t="s">
        <v>59</v>
      </c>
      <c r="C36" t="str">
        <f>TEXT(Table1[[#This Row],[Order Date]],"dddd")</f>
        <v>Tuesday</v>
      </c>
      <c r="D36" t="str">
        <f>TEXT(Table1[[#This Row],[Order Date]],"mmm")</f>
        <v>May</v>
      </c>
      <c r="E36" s="5" t="s">
        <v>159</v>
      </c>
      <c r="F36" s="3" t="s">
        <v>254</v>
      </c>
      <c r="G36" t="s">
        <v>311</v>
      </c>
      <c r="H36" t="s">
        <v>347</v>
      </c>
      <c r="I36" t="str">
        <f>PROPER(TRIM(Table1[[#This Row],[Customer Name]]))</f>
        <v>Vivaan Gupta</v>
      </c>
      <c r="J36" t="s">
        <v>444</v>
      </c>
      <c r="K36" t="s">
        <v>492</v>
      </c>
      <c r="L36" t="s">
        <v>498</v>
      </c>
      <c r="M36" t="s">
        <v>503</v>
      </c>
      <c r="N36" t="s">
        <v>507</v>
      </c>
      <c r="O36">
        <v>637028</v>
      </c>
      <c r="P36" t="s">
        <v>508</v>
      </c>
      <c r="Q36" t="s">
        <v>510</v>
      </c>
      <c r="R36" t="s">
        <v>548</v>
      </c>
      <c r="S36" t="str">
        <f t="shared" si="16"/>
        <v>FUR</v>
      </c>
      <c r="T36" t="str">
        <f t="shared" si="17"/>
        <v>:TBL</v>
      </c>
      <c r="U36" t="s">
        <v>617</v>
      </c>
      <c r="V36" t="s">
        <v>632</v>
      </c>
      <c r="W36">
        <v>1537.24</v>
      </c>
      <c r="X36">
        <v>1</v>
      </c>
      <c r="Y36">
        <v>15</v>
      </c>
      <c r="Z36">
        <v>33.93</v>
      </c>
      <c r="AA36">
        <v>88.5</v>
      </c>
      <c r="AB36" t="s">
        <v>638</v>
      </c>
      <c r="AC36">
        <v>2025</v>
      </c>
      <c r="AD36" t="str">
        <f t="shared" si="18"/>
        <v>Gift Cards</v>
      </c>
      <c r="AE36" t="s">
        <v>646</v>
      </c>
      <c r="AF36">
        <f t="shared" si="19"/>
        <v>66</v>
      </c>
      <c r="AG36" s="6">
        <f t="shared" si="20"/>
        <v>10536.532575757576</v>
      </c>
      <c r="AH36">
        <f t="shared" si="21"/>
        <v>404</v>
      </c>
      <c r="AI36">
        <f t="shared" si="22"/>
        <v>18.051818181818184</v>
      </c>
      <c r="AJ36">
        <f t="shared" si="23"/>
        <v>19990.61</v>
      </c>
      <c r="AK36">
        <f t="shared" si="24"/>
        <v>68.73</v>
      </c>
      <c r="AL36">
        <f t="shared" si="25"/>
        <v>5</v>
      </c>
      <c r="AM36">
        <f t="shared" si="26"/>
        <v>135</v>
      </c>
      <c r="AN36">
        <f t="shared" si="27"/>
        <v>1537.24</v>
      </c>
      <c r="AO36">
        <f t="shared" si="28"/>
        <v>230.58599999999998</v>
      </c>
      <c r="AP36">
        <f t="shared" si="29"/>
        <v>1306.654</v>
      </c>
      <c r="AQ36">
        <f t="shared" si="30"/>
        <v>1395.154</v>
      </c>
      <c r="AR36">
        <f t="shared" si="31"/>
        <v>1</v>
      </c>
    </row>
    <row r="37" spans="1:44" x14ac:dyDescent="0.3">
      <c r="A37">
        <v>36</v>
      </c>
      <c r="B37" t="s">
        <v>60</v>
      </c>
      <c r="C37" t="str">
        <f>TEXT(Table1[[#This Row],[Order Date]],"dddd")</f>
        <v>Friday</v>
      </c>
      <c r="D37" t="str">
        <f>TEXT(Table1[[#This Row],[Order Date]],"mmm")</f>
        <v>May</v>
      </c>
      <c r="E37" s="5" t="s">
        <v>160</v>
      </c>
      <c r="F37" s="3" t="s">
        <v>255</v>
      </c>
      <c r="G37" t="s">
        <v>309</v>
      </c>
      <c r="H37" t="s">
        <v>348</v>
      </c>
      <c r="I37" t="str">
        <f>PROPER(TRIM(Table1[[#This Row],[Customer Name]]))</f>
        <v>Priya Iyer</v>
      </c>
      <c r="J37" t="s">
        <v>445</v>
      </c>
      <c r="K37" t="s">
        <v>492</v>
      </c>
      <c r="L37" t="s">
        <v>495</v>
      </c>
      <c r="M37" t="s">
        <v>503</v>
      </c>
      <c r="N37" t="s">
        <v>507</v>
      </c>
      <c r="O37">
        <v>518325</v>
      </c>
      <c r="P37" t="s">
        <v>508</v>
      </c>
      <c r="Q37" t="s">
        <v>511</v>
      </c>
      <c r="R37" t="s">
        <v>549</v>
      </c>
      <c r="S37" t="str">
        <f t="shared" si="16"/>
        <v>FUR</v>
      </c>
      <c r="T37" t="str">
        <f t="shared" si="17"/>
        <v>:CH</v>
      </c>
      <c r="U37" t="s">
        <v>615</v>
      </c>
      <c r="V37" t="s">
        <v>632</v>
      </c>
      <c r="W37">
        <v>1472.82</v>
      </c>
      <c r="X37">
        <v>8</v>
      </c>
      <c r="Y37">
        <v>5</v>
      </c>
      <c r="Z37">
        <v>29.87</v>
      </c>
      <c r="AA37">
        <v>328.44</v>
      </c>
      <c r="AB37" t="s">
        <v>638</v>
      </c>
      <c r="AC37">
        <v>2025</v>
      </c>
      <c r="AD37" t="str">
        <f t="shared" si="18"/>
        <v>BNPL</v>
      </c>
      <c r="AE37" t="s">
        <v>640</v>
      </c>
      <c r="AF37">
        <f t="shared" si="19"/>
        <v>65</v>
      </c>
      <c r="AG37" s="6">
        <f t="shared" si="20"/>
        <v>10674.983230769229</v>
      </c>
      <c r="AH37">
        <f t="shared" si="21"/>
        <v>403</v>
      </c>
      <c r="AI37">
        <f t="shared" si="22"/>
        <v>17.80753846153846</v>
      </c>
      <c r="AJ37">
        <f t="shared" si="23"/>
        <v>19990.61</v>
      </c>
      <c r="AK37">
        <f t="shared" si="24"/>
        <v>68.73</v>
      </c>
      <c r="AL37">
        <f t="shared" si="25"/>
        <v>5</v>
      </c>
      <c r="AM37">
        <f t="shared" si="26"/>
        <v>135</v>
      </c>
      <c r="AN37">
        <f t="shared" si="27"/>
        <v>11782.56</v>
      </c>
      <c r="AO37">
        <f t="shared" si="28"/>
        <v>589.12799999999993</v>
      </c>
      <c r="AP37">
        <f t="shared" si="29"/>
        <v>11193.431999999999</v>
      </c>
      <c r="AQ37">
        <f t="shared" si="30"/>
        <v>11521.871999999999</v>
      </c>
      <c r="AR37">
        <f t="shared" si="31"/>
        <v>6</v>
      </c>
    </row>
    <row r="38" spans="1:44" x14ac:dyDescent="0.3">
      <c r="A38">
        <v>37</v>
      </c>
      <c r="B38" t="s">
        <v>61</v>
      </c>
      <c r="C38" t="str">
        <f>TEXT(Table1[[#This Row],[Order Date]],"dddd")</f>
        <v>Tuesday</v>
      </c>
      <c r="D38" t="str">
        <f>TEXT(Table1[[#This Row],[Order Date]],"mmm")</f>
        <v>May</v>
      </c>
      <c r="E38" s="5" t="s">
        <v>161</v>
      </c>
      <c r="F38" s="3" t="s">
        <v>256</v>
      </c>
      <c r="G38" t="s">
        <v>312</v>
      </c>
      <c r="H38" t="s">
        <v>349</v>
      </c>
      <c r="I38" t="str">
        <f>PROPER(TRIM(Table1[[#This Row],[Customer Name]]))</f>
        <v>Neha Jain</v>
      </c>
      <c r="J38" t="s">
        <v>446</v>
      </c>
      <c r="K38" t="s">
        <v>491</v>
      </c>
      <c r="L38" t="s">
        <v>494</v>
      </c>
      <c r="M38" t="s">
        <v>496</v>
      </c>
      <c r="N38" t="s">
        <v>507</v>
      </c>
      <c r="O38">
        <v>722711</v>
      </c>
      <c r="P38" t="s">
        <v>508</v>
      </c>
      <c r="Q38" t="s">
        <v>510</v>
      </c>
      <c r="R38" t="s">
        <v>550</v>
      </c>
      <c r="S38" t="str">
        <f t="shared" si="16"/>
        <v>FUR</v>
      </c>
      <c r="T38" t="str">
        <f t="shared" si="17"/>
        <v>:TBL</v>
      </c>
      <c r="U38" t="s">
        <v>617</v>
      </c>
      <c r="V38" t="s">
        <v>631</v>
      </c>
      <c r="W38">
        <v>3233.31</v>
      </c>
      <c r="X38">
        <v>3</v>
      </c>
      <c r="Y38">
        <v>25</v>
      </c>
      <c r="Z38">
        <v>22.92</v>
      </c>
      <c r="AA38">
        <v>212.93</v>
      </c>
      <c r="AB38" t="s">
        <v>636</v>
      </c>
      <c r="AC38">
        <v>2025</v>
      </c>
      <c r="AD38" t="str">
        <f t="shared" si="18"/>
        <v>Debit Card</v>
      </c>
      <c r="AE38" t="s">
        <v>647</v>
      </c>
      <c r="AF38">
        <f t="shared" si="19"/>
        <v>64</v>
      </c>
      <c r="AG38" s="6">
        <f t="shared" si="20"/>
        <v>10818.767031249999</v>
      </c>
      <c r="AH38">
        <f t="shared" si="21"/>
        <v>395</v>
      </c>
      <c r="AI38">
        <f t="shared" si="22"/>
        <v>17.619062499999995</v>
      </c>
      <c r="AJ38">
        <f t="shared" si="23"/>
        <v>19990.61</v>
      </c>
      <c r="AK38">
        <f t="shared" si="24"/>
        <v>68.73</v>
      </c>
      <c r="AL38">
        <f t="shared" si="25"/>
        <v>5</v>
      </c>
      <c r="AM38">
        <f t="shared" si="26"/>
        <v>135</v>
      </c>
      <c r="AN38">
        <f t="shared" si="27"/>
        <v>9699.93</v>
      </c>
      <c r="AO38">
        <f t="shared" si="28"/>
        <v>2424.9825000000001</v>
      </c>
      <c r="AP38">
        <f t="shared" si="29"/>
        <v>7274.9475000000002</v>
      </c>
      <c r="AQ38">
        <f t="shared" si="30"/>
        <v>7487.8775000000005</v>
      </c>
      <c r="AR38">
        <f t="shared" si="31"/>
        <v>5</v>
      </c>
    </row>
    <row r="39" spans="1:44" x14ac:dyDescent="0.3">
      <c r="A39">
        <v>38</v>
      </c>
      <c r="B39" t="s">
        <v>62</v>
      </c>
      <c r="C39" t="str">
        <f>TEXT(Table1[[#This Row],[Order Date]],"dddd")</f>
        <v>Saturday</v>
      </c>
      <c r="D39" t="str">
        <f>TEXT(Table1[[#This Row],[Order Date]],"mmm")</f>
        <v>May</v>
      </c>
      <c r="E39" s="5" t="s">
        <v>162</v>
      </c>
      <c r="F39" s="3" t="s">
        <v>163</v>
      </c>
      <c r="G39" t="s">
        <v>310</v>
      </c>
      <c r="H39" t="s">
        <v>350</v>
      </c>
      <c r="I39" t="str">
        <f>PROPER(TRIM(Table1[[#This Row],[Customer Name]]))</f>
        <v>Neha Reddy</v>
      </c>
      <c r="J39" t="s">
        <v>447</v>
      </c>
      <c r="K39" t="s">
        <v>492</v>
      </c>
      <c r="L39" t="s">
        <v>493</v>
      </c>
      <c r="M39" t="s">
        <v>501</v>
      </c>
      <c r="N39" t="s">
        <v>507</v>
      </c>
      <c r="O39">
        <v>597776</v>
      </c>
      <c r="P39" t="s">
        <v>508</v>
      </c>
      <c r="Q39" t="s">
        <v>512</v>
      </c>
      <c r="R39" t="s">
        <v>551</v>
      </c>
      <c r="S39" t="str">
        <f t="shared" si="16"/>
        <v>FUR</v>
      </c>
      <c r="T39" t="str">
        <f t="shared" si="17"/>
        <v>:TBL</v>
      </c>
      <c r="U39" t="s">
        <v>617</v>
      </c>
      <c r="V39" t="s">
        <v>633</v>
      </c>
      <c r="W39">
        <v>18263.669999999998</v>
      </c>
      <c r="X39">
        <v>8</v>
      </c>
      <c r="Y39">
        <v>20</v>
      </c>
      <c r="Z39">
        <v>32.53</v>
      </c>
      <c r="AA39">
        <v>10994.86</v>
      </c>
      <c r="AB39" t="s">
        <v>637</v>
      </c>
      <c r="AC39">
        <v>2025</v>
      </c>
      <c r="AD39" t="str">
        <f t="shared" si="18"/>
        <v>Net Banking</v>
      </c>
      <c r="AE39" t="s">
        <v>639</v>
      </c>
      <c r="AF39">
        <f t="shared" si="19"/>
        <v>63</v>
      </c>
      <c r="AG39" s="6">
        <f t="shared" si="20"/>
        <v>10939.171111111111</v>
      </c>
      <c r="AH39">
        <f t="shared" si="21"/>
        <v>392</v>
      </c>
      <c r="AI39">
        <f t="shared" si="22"/>
        <v>17.534920634920628</v>
      </c>
      <c r="AJ39">
        <f t="shared" si="23"/>
        <v>19990.61</v>
      </c>
      <c r="AK39">
        <f t="shared" si="24"/>
        <v>68.73</v>
      </c>
      <c r="AL39">
        <f t="shared" si="25"/>
        <v>5</v>
      </c>
      <c r="AM39">
        <f t="shared" si="26"/>
        <v>135</v>
      </c>
      <c r="AN39">
        <f t="shared" si="27"/>
        <v>146109.35999999999</v>
      </c>
      <c r="AO39">
        <f t="shared" si="28"/>
        <v>29221.871999999996</v>
      </c>
      <c r="AP39">
        <f t="shared" si="29"/>
        <v>116887.48799999998</v>
      </c>
      <c r="AQ39">
        <f t="shared" si="30"/>
        <v>127882.34799999998</v>
      </c>
      <c r="AR39">
        <f t="shared" si="31"/>
        <v>3</v>
      </c>
    </row>
    <row r="40" spans="1:44" x14ac:dyDescent="0.3">
      <c r="A40">
        <v>39</v>
      </c>
      <c r="B40" t="s">
        <v>63</v>
      </c>
      <c r="C40" t="str">
        <f>TEXT(Table1[[#This Row],[Order Date]],"dddd")</f>
        <v>Tuesday</v>
      </c>
      <c r="D40" t="str">
        <f>TEXT(Table1[[#This Row],[Order Date]],"mmm")</f>
        <v>May</v>
      </c>
      <c r="E40" s="5" t="s">
        <v>163</v>
      </c>
      <c r="F40" s="3" t="s">
        <v>164</v>
      </c>
      <c r="G40" t="s">
        <v>312</v>
      </c>
      <c r="H40" t="s">
        <v>351</v>
      </c>
      <c r="I40" t="str">
        <f>PROPER(TRIM(Table1[[#This Row],[Customer Name]]))</f>
        <v>Vihaan Reddy</v>
      </c>
      <c r="J40" t="s">
        <v>448</v>
      </c>
      <c r="K40" t="s">
        <v>491</v>
      </c>
      <c r="L40" t="s">
        <v>496</v>
      </c>
      <c r="M40" t="s">
        <v>496</v>
      </c>
      <c r="N40" t="s">
        <v>507</v>
      </c>
      <c r="O40">
        <v>689337</v>
      </c>
      <c r="P40" t="s">
        <v>508</v>
      </c>
      <c r="Q40" t="s">
        <v>509</v>
      </c>
      <c r="R40" t="s">
        <v>552</v>
      </c>
      <c r="S40" t="str">
        <f t="shared" si="16"/>
        <v>FUR</v>
      </c>
      <c r="T40" t="str">
        <f t="shared" si="17"/>
        <v>:TBL</v>
      </c>
      <c r="U40" t="s">
        <v>617</v>
      </c>
      <c r="V40" t="s">
        <v>634</v>
      </c>
      <c r="W40">
        <v>11506.72</v>
      </c>
      <c r="X40">
        <v>5</v>
      </c>
      <c r="Y40">
        <v>0</v>
      </c>
      <c r="Z40">
        <v>33.36</v>
      </c>
      <c r="AA40">
        <v>3279.36</v>
      </c>
      <c r="AB40" t="s">
        <v>636</v>
      </c>
      <c r="AC40">
        <v>2025</v>
      </c>
      <c r="AD40" t="str">
        <f t="shared" si="18"/>
        <v>Credit Card</v>
      </c>
      <c r="AE40" t="s">
        <v>645</v>
      </c>
      <c r="AF40">
        <f t="shared" si="19"/>
        <v>62</v>
      </c>
      <c r="AG40" s="6">
        <f t="shared" si="20"/>
        <v>10821.034032258065</v>
      </c>
      <c r="AH40">
        <f t="shared" si="21"/>
        <v>384</v>
      </c>
      <c r="AI40">
        <f t="shared" si="22"/>
        <v>17.293064516129022</v>
      </c>
      <c r="AJ40">
        <f t="shared" si="23"/>
        <v>19990.61</v>
      </c>
      <c r="AK40">
        <f t="shared" si="24"/>
        <v>68.73</v>
      </c>
      <c r="AL40">
        <f t="shared" si="25"/>
        <v>5</v>
      </c>
      <c r="AM40">
        <f t="shared" si="26"/>
        <v>127</v>
      </c>
      <c r="AN40">
        <f t="shared" si="27"/>
        <v>57533.599999999999</v>
      </c>
      <c r="AO40">
        <f t="shared" si="28"/>
        <v>0</v>
      </c>
      <c r="AP40">
        <f t="shared" si="29"/>
        <v>57533.599999999999</v>
      </c>
      <c r="AQ40">
        <f t="shared" si="30"/>
        <v>60812.959999999999</v>
      </c>
      <c r="AR40">
        <f t="shared" si="31"/>
        <v>4</v>
      </c>
    </row>
    <row r="41" spans="1:44" x14ac:dyDescent="0.3">
      <c r="A41">
        <v>40</v>
      </c>
      <c r="B41" t="s">
        <v>64</v>
      </c>
      <c r="C41" t="str">
        <f>TEXT(Table1[[#This Row],[Order Date]],"dddd")</f>
        <v>Saturday</v>
      </c>
      <c r="D41" t="str">
        <f>TEXT(Table1[[#This Row],[Order Date]],"mmm")</f>
        <v>May</v>
      </c>
      <c r="E41" s="5" t="s">
        <v>164</v>
      </c>
      <c r="F41" s="3" t="s">
        <v>257</v>
      </c>
      <c r="G41" t="s">
        <v>311</v>
      </c>
      <c r="H41" t="s">
        <v>352</v>
      </c>
      <c r="I41" t="str">
        <f>PROPER(TRIM(Table1[[#This Row],[Customer Name]]))</f>
        <v>Vihaan Reddy</v>
      </c>
      <c r="J41" t="s">
        <v>448</v>
      </c>
      <c r="K41" t="s">
        <v>492</v>
      </c>
      <c r="L41" t="s">
        <v>495</v>
      </c>
      <c r="M41" t="s">
        <v>503</v>
      </c>
      <c r="N41" t="s">
        <v>507</v>
      </c>
      <c r="O41">
        <v>663207</v>
      </c>
      <c r="P41" t="s">
        <v>508</v>
      </c>
      <c r="Q41" t="s">
        <v>510</v>
      </c>
      <c r="R41" t="s">
        <v>553</v>
      </c>
      <c r="S41" t="str">
        <f t="shared" si="16"/>
        <v>OFF</v>
      </c>
      <c r="T41" t="str">
        <f t="shared" si="17"/>
        <v>:CAB</v>
      </c>
      <c r="U41" t="s">
        <v>624</v>
      </c>
      <c r="V41" t="s">
        <v>630</v>
      </c>
      <c r="W41">
        <v>1307.6300000000001</v>
      </c>
      <c r="X41">
        <v>1</v>
      </c>
      <c r="Y41">
        <v>0</v>
      </c>
      <c r="Z41">
        <v>25.42</v>
      </c>
      <c r="AA41">
        <v>88.65</v>
      </c>
      <c r="AB41" t="s">
        <v>637</v>
      </c>
      <c r="AC41">
        <v>2025</v>
      </c>
      <c r="AD41" t="str">
        <f t="shared" si="18"/>
        <v>Cash/Cheque</v>
      </c>
      <c r="AE41" t="s">
        <v>649</v>
      </c>
      <c r="AF41">
        <f t="shared" si="19"/>
        <v>61</v>
      </c>
      <c r="AG41" s="6">
        <f t="shared" si="20"/>
        <v>10809.793278688523</v>
      </c>
      <c r="AH41">
        <f t="shared" si="21"/>
        <v>379</v>
      </c>
      <c r="AI41">
        <f t="shared" si="22"/>
        <v>17.029672131147532</v>
      </c>
      <c r="AJ41">
        <f t="shared" si="23"/>
        <v>19990.61</v>
      </c>
      <c r="AK41">
        <f t="shared" si="24"/>
        <v>68.73</v>
      </c>
      <c r="AL41">
        <f t="shared" si="25"/>
        <v>5</v>
      </c>
      <c r="AM41">
        <f t="shared" si="26"/>
        <v>122</v>
      </c>
      <c r="AN41">
        <f t="shared" si="27"/>
        <v>1307.6300000000001</v>
      </c>
      <c r="AO41">
        <f t="shared" si="28"/>
        <v>0</v>
      </c>
      <c r="AP41">
        <f t="shared" si="29"/>
        <v>1307.6300000000001</v>
      </c>
      <c r="AQ41">
        <f t="shared" si="30"/>
        <v>1396.2800000000002</v>
      </c>
      <c r="AR41">
        <f t="shared" si="31"/>
        <v>1</v>
      </c>
    </row>
    <row r="42" spans="1:44" x14ac:dyDescent="0.3">
      <c r="A42">
        <v>41</v>
      </c>
      <c r="B42" t="s">
        <v>65</v>
      </c>
      <c r="C42" t="str">
        <f>TEXT(Table1[[#This Row],[Order Date]],"dddd")</f>
        <v>Wednesday</v>
      </c>
      <c r="D42" t="str">
        <f>TEXT(Table1[[#This Row],[Order Date]],"mmm")</f>
        <v>May</v>
      </c>
      <c r="E42" s="5" t="s">
        <v>165</v>
      </c>
      <c r="F42" s="3" t="s">
        <v>258</v>
      </c>
      <c r="G42" t="s">
        <v>310</v>
      </c>
      <c r="H42" t="s">
        <v>353</v>
      </c>
      <c r="I42" t="str">
        <f>PROPER(TRIM(Table1[[#This Row],[Customer Name]]))</f>
        <v>Aditya Gupta</v>
      </c>
      <c r="J42" t="s">
        <v>449</v>
      </c>
      <c r="K42" t="s">
        <v>491</v>
      </c>
      <c r="L42" t="s">
        <v>495</v>
      </c>
      <c r="M42" t="s">
        <v>502</v>
      </c>
      <c r="N42" t="s">
        <v>507</v>
      </c>
      <c r="O42">
        <v>484077</v>
      </c>
      <c r="P42" t="s">
        <v>508</v>
      </c>
      <c r="Q42" t="s">
        <v>512</v>
      </c>
      <c r="R42" t="s">
        <v>554</v>
      </c>
      <c r="S42" t="str">
        <f t="shared" si="16"/>
        <v>FUR</v>
      </c>
      <c r="T42" t="str">
        <f t="shared" si="17"/>
        <v>:TBL</v>
      </c>
      <c r="U42" t="s">
        <v>617</v>
      </c>
      <c r="V42" t="s">
        <v>629</v>
      </c>
      <c r="W42">
        <v>47372.45</v>
      </c>
      <c r="X42">
        <v>7</v>
      </c>
      <c r="Y42">
        <v>20</v>
      </c>
      <c r="Z42">
        <v>31.85</v>
      </c>
      <c r="AA42">
        <v>16212.72</v>
      </c>
      <c r="AB42" t="s">
        <v>638</v>
      </c>
      <c r="AC42">
        <v>2025</v>
      </c>
      <c r="AD42" t="str">
        <f t="shared" si="18"/>
        <v>Credit Card</v>
      </c>
      <c r="AE42" t="s">
        <v>645</v>
      </c>
      <c r="AF42">
        <f t="shared" si="19"/>
        <v>60</v>
      </c>
      <c r="AG42" s="6">
        <f t="shared" si="20"/>
        <v>10968.162666666665</v>
      </c>
      <c r="AH42">
        <f t="shared" si="21"/>
        <v>378</v>
      </c>
      <c r="AI42">
        <f t="shared" si="22"/>
        <v>16.889833333333328</v>
      </c>
      <c r="AJ42">
        <f t="shared" si="23"/>
        <v>19990.61</v>
      </c>
      <c r="AK42">
        <f t="shared" si="24"/>
        <v>68.73</v>
      </c>
      <c r="AL42">
        <f t="shared" si="25"/>
        <v>5</v>
      </c>
      <c r="AM42">
        <f t="shared" si="26"/>
        <v>122</v>
      </c>
      <c r="AN42">
        <f t="shared" si="27"/>
        <v>331607.14999999997</v>
      </c>
      <c r="AO42">
        <f t="shared" si="28"/>
        <v>66321.429999999993</v>
      </c>
      <c r="AP42">
        <f t="shared" si="29"/>
        <v>265285.71999999997</v>
      </c>
      <c r="AQ42">
        <f t="shared" si="30"/>
        <v>281498.43999999994</v>
      </c>
      <c r="AR42">
        <f t="shared" si="31"/>
        <v>4</v>
      </c>
    </row>
    <row r="43" spans="1:44" x14ac:dyDescent="0.3">
      <c r="A43">
        <v>42</v>
      </c>
      <c r="B43" t="s">
        <v>66</v>
      </c>
      <c r="C43" t="str">
        <f>TEXT(Table1[[#This Row],[Order Date]],"dddd")</f>
        <v>Saturday</v>
      </c>
      <c r="D43" t="str">
        <f>TEXT(Table1[[#This Row],[Order Date]],"mmm")</f>
        <v>May</v>
      </c>
      <c r="E43" s="5" t="s">
        <v>166</v>
      </c>
      <c r="F43" s="3" t="s">
        <v>259</v>
      </c>
      <c r="G43" t="s">
        <v>311</v>
      </c>
      <c r="H43" t="s">
        <v>354</v>
      </c>
      <c r="I43" t="str">
        <f>PROPER(TRIM(Table1[[#This Row],[Customer Name]]))</f>
        <v>Amit Nair</v>
      </c>
      <c r="J43" t="s">
        <v>450</v>
      </c>
      <c r="K43" t="s">
        <v>490</v>
      </c>
      <c r="L43" t="s">
        <v>500</v>
      </c>
      <c r="M43" t="s">
        <v>502</v>
      </c>
      <c r="N43" t="s">
        <v>507</v>
      </c>
      <c r="O43">
        <v>489781</v>
      </c>
      <c r="P43" t="s">
        <v>508</v>
      </c>
      <c r="Q43" t="s">
        <v>513</v>
      </c>
      <c r="R43" t="s">
        <v>555</v>
      </c>
      <c r="S43" t="str">
        <f t="shared" si="16"/>
        <v>OFF</v>
      </c>
      <c r="T43" t="str">
        <f t="shared" si="17"/>
        <v>:BIN</v>
      </c>
      <c r="U43" t="s">
        <v>625</v>
      </c>
      <c r="V43" t="s">
        <v>633</v>
      </c>
      <c r="W43">
        <v>17168.419999999998</v>
      </c>
      <c r="X43">
        <v>5</v>
      </c>
      <c r="Y43">
        <v>25</v>
      </c>
      <c r="Z43">
        <v>24.87</v>
      </c>
      <c r="AA43">
        <v>2321.04</v>
      </c>
      <c r="AB43" t="s">
        <v>635</v>
      </c>
      <c r="AC43">
        <v>2025</v>
      </c>
      <c r="AD43" t="str">
        <f t="shared" si="18"/>
        <v>Debit Card</v>
      </c>
      <c r="AE43" t="s">
        <v>647</v>
      </c>
      <c r="AF43">
        <f t="shared" si="19"/>
        <v>59</v>
      </c>
      <c r="AG43" s="6">
        <f t="shared" si="20"/>
        <v>10351.140847457626</v>
      </c>
      <c r="AH43">
        <f t="shared" si="21"/>
        <v>371</v>
      </c>
      <c r="AI43">
        <f t="shared" si="22"/>
        <v>16.63627118644067</v>
      </c>
      <c r="AJ43">
        <f t="shared" si="23"/>
        <v>19990.61</v>
      </c>
      <c r="AK43">
        <f t="shared" si="24"/>
        <v>68.73</v>
      </c>
      <c r="AL43">
        <f t="shared" si="25"/>
        <v>5</v>
      </c>
      <c r="AM43">
        <f t="shared" si="26"/>
        <v>115</v>
      </c>
      <c r="AN43">
        <f t="shared" si="27"/>
        <v>85842.099999999991</v>
      </c>
      <c r="AO43">
        <f t="shared" si="28"/>
        <v>21460.525000000001</v>
      </c>
      <c r="AP43">
        <f t="shared" si="29"/>
        <v>64381.57499999999</v>
      </c>
      <c r="AQ43">
        <f t="shared" si="30"/>
        <v>66702.614999999991</v>
      </c>
      <c r="AR43">
        <f t="shared" si="31"/>
        <v>5</v>
      </c>
    </row>
    <row r="44" spans="1:44" x14ac:dyDescent="0.3">
      <c r="A44">
        <v>43</v>
      </c>
      <c r="B44" t="s">
        <v>67</v>
      </c>
      <c r="C44" t="str">
        <f>TEXT(Table1[[#This Row],[Order Date]],"dddd")</f>
        <v>Wednesday</v>
      </c>
      <c r="D44" t="str">
        <f>TEXT(Table1[[#This Row],[Order Date]],"mmm")</f>
        <v>Jun</v>
      </c>
      <c r="E44" s="5" t="s">
        <v>167</v>
      </c>
      <c r="F44" s="3" t="s">
        <v>260</v>
      </c>
      <c r="G44" t="s">
        <v>311</v>
      </c>
      <c r="H44" t="s">
        <v>355</v>
      </c>
      <c r="I44" t="str">
        <f>PROPER(TRIM(Table1[[#This Row],[Customer Name]]))</f>
        <v>Rahul Gupta</v>
      </c>
      <c r="J44" t="s">
        <v>451</v>
      </c>
      <c r="K44" t="s">
        <v>491</v>
      </c>
      <c r="L44" t="s">
        <v>493</v>
      </c>
      <c r="M44" t="s">
        <v>502</v>
      </c>
      <c r="N44" t="s">
        <v>507</v>
      </c>
      <c r="O44">
        <v>552618</v>
      </c>
      <c r="P44" t="s">
        <v>508</v>
      </c>
      <c r="Q44" t="s">
        <v>512</v>
      </c>
      <c r="R44" t="s">
        <v>556</v>
      </c>
      <c r="S44" t="str">
        <f t="shared" si="16"/>
        <v>OFF</v>
      </c>
      <c r="T44" t="str">
        <f t="shared" si="17"/>
        <v>:CAB</v>
      </c>
      <c r="U44" t="s">
        <v>624</v>
      </c>
      <c r="V44" t="s">
        <v>629</v>
      </c>
      <c r="W44">
        <v>48316.21</v>
      </c>
      <c r="X44">
        <v>6</v>
      </c>
      <c r="Y44">
        <v>0</v>
      </c>
      <c r="Z44">
        <v>24.01</v>
      </c>
      <c r="AA44">
        <v>7975.41</v>
      </c>
      <c r="AB44" t="s">
        <v>636</v>
      </c>
      <c r="AC44">
        <v>2025</v>
      </c>
      <c r="AD44" t="str">
        <f t="shared" si="18"/>
        <v>Cash/Cheque</v>
      </c>
      <c r="AE44" t="s">
        <v>649</v>
      </c>
      <c r="AF44">
        <f t="shared" si="19"/>
        <v>58</v>
      </c>
      <c r="AG44" s="6">
        <f t="shared" si="20"/>
        <v>10233.601551724136</v>
      </c>
      <c r="AH44">
        <f t="shared" si="21"/>
        <v>366</v>
      </c>
      <c r="AI44">
        <f t="shared" si="22"/>
        <v>16.494310344827579</v>
      </c>
      <c r="AJ44">
        <f t="shared" si="23"/>
        <v>19990.61</v>
      </c>
      <c r="AK44">
        <f t="shared" si="24"/>
        <v>68.73</v>
      </c>
      <c r="AL44">
        <f t="shared" si="25"/>
        <v>5</v>
      </c>
      <c r="AM44">
        <f t="shared" si="26"/>
        <v>110</v>
      </c>
      <c r="AN44">
        <f t="shared" si="27"/>
        <v>289897.26</v>
      </c>
      <c r="AO44">
        <f t="shared" si="28"/>
        <v>0</v>
      </c>
      <c r="AP44">
        <f t="shared" si="29"/>
        <v>289897.26</v>
      </c>
      <c r="AQ44">
        <f t="shared" si="30"/>
        <v>297872.67</v>
      </c>
      <c r="AR44">
        <f t="shared" si="31"/>
        <v>5</v>
      </c>
    </row>
    <row r="45" spans="1:44" x14ac:dyDescent="0.3">
      <c r="A45">
        <v>44</v>
      </c>
      <c r="B45" t="s">
        <v>68</v>
      </c>
      <c r="C45" t="str">
        <f>TEXT(Table1[[#This Row],[Order Date]],"dddd")</f>
        <v>Sunday</v>
      </c>
      <c r="D45" t="str">
        <f>TEXT(Table1[[#This Row],[Order Date]],"mmm")</f>
        <v>Jun</v>
      </c>
      <c r="E45" s="5" t="s">
        <v>168</v>
      </c>
      <c r="F45" s="3" t="s">
        <v>260</v>
      </c>
      <c r="G45" t="s">
        <v>309</v>
      </c>
      <c r="H45" t="s">
        <v>356</v>
      </c>
      <c r="I45" t="str">
        <f>PROPER(TRIM(Table1[[#This Row],[Customer Name]]))</f>
        <v>Arjun Verma</v>
      </c>
      <c r="J45" t="s">
        <v>442</v>
      </c>
      <c r="K45" t="s">
        <v>491</v>
      </c>
      <c r="L45" t="s">
        <v>493</v>
      </c>
      <c r="M45" t="s">
        <v>504</v>
      </c>
      <c r="N45" t="s">
        <v>507</v>
      </c>
      <c r="O45">
        <v>421690</v>
      </c>
      <c r="P45" t="s">
        <v>508</v>
      </c>
      <c r="Q45" t="s">
        <v>509</v>
      </c>
      <c r="R45" t="s">
        <v>557</v>
      </c>
      <c r="S45" t="str">
        <f t="shared" si="16"/>
        <v>OFF</v>
      </c>
      <c r="T45" t="str">
        <f t="shared" si="17"/>
        <v>:BIN</v>
      </c>
      <c r="U45" t="s">
        <v>625</v>
      </c>
      <c r="V45" t="s">
        <v>630</v>
      </c>
      <c r="W45">
        <v>1196.98</v>
      </c>
      <c r="X45">
        <v>6</v>
      </c>
      <c r="Y45">
        <v>0</v>
      </c>
      <c r="Z45">
        <v>20.93</v>
      </c>
      <c r="AA45">
        <v>439.06</v>
      </c>
      <c r="AB45" t="s">
        <v>635</v>
      </c>
      <c r="AC45">
        <v>2025</v>
      </c>
      <c r="AD45" t="str">
        <f t="shared" si="18"/>
        <v>Mobile Wallets</v>
      </c>
      <c r="AE45" t="s">
        <v>650</v>
      </c>
      <c r="AF45">
        <f t="shared" si="19"/>
        <v>57</v>
      </c>
      <c r="AG45" s="6">
        <f t="shared" si="20"/>
        <v>9565.4856140350894</v>
      </c>
      <c r="AH45">
        <f t="shared" si="21"/>
        <v>360</v>
      </c>
      <c r="AI45">
        <f t="shared" si="22"/>
        <v>16.362456140350869</v>
      </c>
      <c r="AJ45">
        <f t="shared" si="23"/>
        <v>19990.61</v>
      </c>
      <c r="AK45">
        <f t="shared" si="24"/>
        <v>68.73</v>
      </c>
      <c r="AL45">
        <f t="shared" si="25"/>
        <v>5</v>
      </c>
      <c r="AM45">
        <f t="shared" si="26"/>
        <v>104</v>
      </c>
      <c r="AN45">
        <f t="shared" si="27"/>
        <v>7181.88</v>
      </c>
      <c r="AO45">
        <f t="shared" si="28"/>
        <v>0</v>
      </c>
      <c r="AP45">
        <f t="shared" si="29"/>
        <v>7181.88</v>
      </c>
      <c r="AQ45">
        <f t="shared" si="30"/>
        <v>7620.9400000000005</v>
      </c>
      <c r="AR45">
        <f t="shared" si="31"/>
        <v>1</v>
      </c>
    </row>
    <row r="46" spans="1:44" x14ac:dyDescent="0.3">
      <c r="A46">
        <v>45</v>
      </c>
      <c r="B46" t="s">
        <v>69</v>
      </c>
      <c r="C46" t="str">
        <f>TEXT(Table1[[#This Row],[Order Date]],"dddd")</f>
        <v>Wednesday</v>
      </c>
      <c r="D46" t="str">
        <f>TEXT(Table1[[#This Row],[Order Date]],"mmm")</f>
        <v>Jun</v>
      </c>
      <c r="E46" s="5" t="s">
        <v>169</v>
      </c>
      <c r="F46" s="3" t="s">
        <v>261</v>
      </c>
      <c r="G46" t="s">
        <v>312</v>
      </c>
      <c r="H46" t="s">
        <v>357</v>
      </c>
      <c r="I46" t="str">
        <f>PROPER(TRIM(Table1[[#This Row],[Customer Name]]))</f>
        <v>Ishaan Jain</v>
      </c>
      <c r="J46" t="s">
        <v>452</v>
      </c>
      <c r="K46" t="s">
        <v>492</v>
      </c>
      <c r="L46" t="s">
        <v>496</v>
      </c>
      <c r="M46" t="s">
        <v>506</v>
      </c>
      <c r="N46" t="s">
        <v>507</v>
      </c>
      <c r="O46">
        <v>673319</v>
      </c>
      <c r="P46" t="s">
        <v>508</v>
      </c>
      <c r="Q46" t="s">
        <v>512</v>
      </c>
      <c r="R46" t="s">
        <v>558</v>
      </c>
      <c r="S46" t="str">
        <f t="shared" si="16"/>
        <v>OFF</v>
      </c>
      <c r="T46" t="str">
        <f t="shared" si="17"/>
        <v>:CAB</v>
      </c>
      <c r="U46" t="s">
        <v>624</v>
      </c>
      <c r="V46" t="s">
        <v>634</v>
      </c>
      <c r="W46">
        <v>12946.93</v>
      </c>
      <c r="X46">
        <v>8</v>
      </c>
      <c r="Y46">
        <v>0</v>
      </c>
      <c r="Z46">
        <v>27.64</v>
      </c>
      <c r="AA46">
        <v>4745.66</v>
      </c>
      <c r="AB46" t="s">
        <v>636</v>
      </c>
      <c r="AC46">
        <v>2025</v>
      </c>
      <c r="AD46" t="str">
        <f t="shared" si="18"/>
        <v>BNPL</v>
      </c>
      <c r="AE46" t="s">
        <v>640</v>
      </c>
      <c r="AF46">
        <f t="shared" si="19"/>
        <v>56</v>
      </c>
      <c r="AG46" s="6">
        <f t="shared" si="20"/>
        <v>9714.9232142857163</v>
      </c>
      <c r="AH46">
        <f t="shared" si="21"/>
        <v>354</v>
      </c>
      <c r="AI46">
        <f t="shared" si="22"/>
        <v>16.280892857142849</v>
      </c>
      <c r="AJ46">
        <f t="shared" si="23"/>
        <v>19990.61</v>
      </c>
      <c r="AK46">
        <f t="shared" si="24"/>
        <v>68.73</v>
      </c>
      <c r="AL46">
        <f t="shared" si="25"/>
        <v>5</v>
      </c>
      <c r="AM46">
        <f t="shared" si="26"/>
        <v>104</v>
      </c>
      <c r="AN46">
        <f t="shared" si="27"/>
        <v>103575.44</v>
      </c>
      <c r="AO46">
        <f t="shared" si="28"/>
        <v>0</v>
      </c>
      <c r="AP46">
        <f t="shared" si="29"/>
        <v>103575.44</v>
      </c>
      <c r="AQ46">
        <f t="shared" si="30"/>
        <v>108321.1</v>
      </c>
      <c r="AR46">
        <f t="shared" si="31"/>
        <v>3</v>
      </c>
    </row>
    <row r="47" spans="1:44" x14ac:dyDescent="0.3">
      <c r="A47">
        <v>46</v>
      </c>
      <c r="B47" t="s">
        <v>70</v>
      </c>
      <c r="C47" t="str">
        <f>TEXT(Table1[[#This Row],[Order Date]],"dddd")</f>
        <v>Sunday</v>
      </c>
      <c r="D47" t="str">
        <f>TEXT(Table1[[#This Row],[Order Date]],"mmm")</f>
        <v>Jun</v>
      </c>
      <c r="E47" s="5" t="s">
        <v>170</v>
      </c>
      <c r="F47" s="3" t="s">
        <v>262</v>
      </c>
      <c r="G47" t="s">
        <v>310</v>
      </c>
      <c r="H47" t="s">
        <v>358</v>
      </c>
      <c r="I47" t="str">
        <f>PROPER(TRIM(Table1[[#This Row],[Customer Name]]))</f>
        <v>Sai Sharma</v>
      </c>
      <c r="J47" t="s">
        <v>437</v>
      </c>
      <c r="K47" t="s">
        <v>491</v>
      </c>
      <c r="L47" t="s">
        <v>496</v>
      </c>
      <c r="M47" t="s">
        <v>504</v>
      </c>
      <c r="N47" t="s">
        <v>507</v>
      </c>
      <c r="O47">
        <v>750606</v>
      </c>
      <c r="P47" t="s">
        <v>508</v>
      </c>
      <c r="Q47" t="s">
        <v>511</v>
      </c>
      <c r="R47" t="s">
        <v>559</v>
      </c>
      <c r="S47" t="str">
        <f t="shared" si="16"/>
        <v>TEC</v>
      </c>
      <c r="T47" t="str">
        <f t="shared" si="17"/>
        <v>:MSW</v>
      </c>
      <c r="U47" t="s">
        <v>616</v>
      </c>
      <c r="V47" t="s">
        <v>632</v>
      </c>
      <c r="W47">
        <v>1589.96</v>
      </c>
      <c r="X47">
        <v>9</v>
      </c>
      <c r="Y47">
        <v>15</v>
      </c>
      <c r="Z47">
        <v>-2.0699999999999998</v>
      </c>
      <c r="AA47">
        <v>458.36</v>
      </c>
      <c r="AB47" t="s">
        <v>638</v>
      </c>
      <c r="AC47">
        <v>2025</v>
      </c>
      <c r="AD47" t="str">
        <f t="shared" si="18"/>
        <v>BNPL</v>
      </c>
      <c r="AE47" t="s">
        <v>640</v>
      </c>
      <c r="AF47">
        <f t="shared" si="19"/>
        <v>55</v>
      </c>
      <c r="AG47" s="6">
        <f t="shared" si="20"/>
        <v>9656.1594545454554</v>
      </c>
      <c r="AH47">
        <f t="shared" si="21"/>
        <v>346</v>
      </c>
      <c r="AI47">
        <f t="shared" si="22"/>
        <v>16.074363636363628</v>
      </c>
      <c r="AJ47">
        <f t="shared" si="23"/>
        <v>19990.61</v>
      </c>
      <c r="AK47">
        <f t="shared" si="24"/>
        <v>68.73</v>
      </c>
      <c r="AL47">
        <f t="shared" si="25"/>
        <v>5</v>
      </c>
      <c r="AM47">
        <f t="shared" si="26"/>
        <v>96</v>
      </c>
      <c r="AN47">
        <f t="shared" si="27"/>
        <v>14309.64</v>
      </c>
      <c r="AO47">
        <f t="shared" si="28"/>
        <v>2146.4459999999999</v>
      </c>
      <c r="AP47">
        <f t="shared" si="29"/>
        <v>12163.194</v>
      </c>
      <c r="AQ47">
        <f t="shared" si="30"/>
        <v>12621.554</v>
      </c>
      <c r="AR47">
        <f t="shared" si="31"/>
        <v>2</v>
      </c>
    </row>
    <row r="48" spans="1:44" x14ac:dyDescent="0.3">
      <c r="A48">
        <v>47</v>
      </c>
      <c r="B48" t="s">
        <v>71</v>
      </c>
      <c r="C48" t="str">
        <f>TEXT(Table1[[#This Row],[Order Date]],"dddd")</f>
        <v>Thursday</v>
      </c>
      <c r="D48" t="str">
        <f>TEXT(Table1[[#This Row],[Order Date]],"mmm")</f>
        <v>Jun</v>
      </c>
      <c r="E48" s="5" t="s">
        <v>171</v>
      </c>
      <c r="F48" s="3" t="s">
        <v>263</v>
      </c>
      <c r="G48" t="s">
        <v>311</v>
      </c>
      <c r="H48" t="s">
        <v>359</v>
      </c>
      <c r="I48" t="str">
        <f>PROPER(TRIM(Table1[[#This Row],[Customer Name]]))</f>
        <v>Arjun Iyer</v>
      </c>
      <c r="J48" t="s">
        <v>453</v>
      </c>
      <c r="K48" t="s">
        <v>490</v>
      </c>
      <c r="L48" t="s">
        <v>493</v>
      </c>
      <c r="M48" t="s">
        <v>503</v>
      </c>
      <c r="N48" t="s">
        <v>507</v>
      </c>
      <c r="O48">
        <v>788319</v>
      </c>
      <c r="P48" t="s">
        <v>508</v>
      </c>
      <c r="Q48" t="s">
        <v>509</v>
      </c>
      <c r="R48" t="s">
        <v>560</v>
      </c>
      <c r="S48" t="str">
        <f t="shared" si="16"/>
        <v>TEC</v>
      </c>
      <c r="T48" t="str">
        <f t="shared" si="17"/>
        <v>:MON</v>
      </c>
      <c r="U48" t="s">
        <v>614</v>
      </c>
      <c r="V48" t="s">
        <v>633</v>
      </c>
      <c r="W48">
        <v>18223.29</v>
      </c>
      <c r="X48">
        <v>2</v>
      </c>
      <c r="Y48">
        <v>15</v>
      </c>
      <c r="Z48">
        <v>34.04</v>
      </c>
      <c r="AA48">
        <v>1803.95</v>
      </c>
      <c r="AB48" t="s">
        <v>636</v>
      </c>
      <c r="AC48">
        <v>2025</v>
      </c>
      <c r="AD48" t="str">
        <f t="shared" si="18"/>
        <v>UPI</v>
      </c>
      <c r="AE48" t="s">
        <v>648</v>
      </c>
      <c r="AF48">
        <f t="shared" si="19"/>
        <v>54</v>
      </c>
      <c r="AG48" s="6">
        <f t="shared" si="20"/>
        <v>9805.5335185185177</v>
      </c>
      <c r="AH48">
        <f t="shared" si="21"/>
        <v>337</v>
      </c>
      <c r="AI48">
        <f t="shared" si="22"/>
        <v>16.410370370370362</v>
      </c>
      <c r="AJ48">
        <f t="shared" si="23"/>
        <v>19990.61</v>
      </c>
      <c r="AK48">
        <f t="shared" si="24"/>
        <v>68.73</v>
      </c>
      <c r="AL48">
        <f t="shared" si="25"/>
        <v>5</v>
      </c>
      <c r="AM48">
        <f t="shared" si="26"/>
        <v>96</v>
      </c>
      <c r="AN48">
        <f t="shared" si="27"/>
        <v>36446.58</v>
      </c>
      <c r="AO48">
        <f t="shared" si="28"/>
        <v>5466.987000000001</v>
      </c>
      <c r="AP48">
        <f t="shared" si="29"/>
        <v>30979.593000000001</v>
      </c>
      <c r="AQ48">
        <f t="shared" si="30"/>
        <v>32783.542999999998</v>
      </c>
      <c r="AR48">
        <f t="shared" si="31"/>
        <v>1</v>
      </c>
    </row>
    <row r="49" spans="1:44" x14ac:dyDescent="0.3">
      <c r="A49">
        <v>48</v>
      </c>
      <c r="B49" t="s">
        <v>72</v>
      </c>
      <c r="C49" t="str">
        <f>TEXT(Table1[[#This Row],[Order Date]],"dddd")</f>
        <v>Sunday</v>
      </c>
      <c r="D49" t="str">
        <f>TEXT(Table1[[#This Row],[Order Date]],"mmm")</f>
        <v>Jun</v>
      </c>
      <c r="E49" s="5" t="s">
        <v>172</v>
      </c>
      <c r="F49" s="3" t="s">
        <v>264</v>
      </c>
      <c r="G49" t="s">
        <v>311</v>
      </c>
      <c r="H49" t="s">
        <v>360</v>
      </c>
      <c r="I49" t="str">
        <f>PROPER(TRIM(Table1[[#This Row],[Customer Name]]))</f>
        <v>Saanvi Nair</v>
      </c>
      <c r="J49" t="s">
        <v>454</v>
      </c>
      <c r="K49" t="s">
        <v>490</v>
      </c>
      <c r="L49" t="s">
        <v>498</v>
      </c>
      <c r="M49" t="s">
        <v>502</v>
      </c>
      <c r="N49" t="s">
        <v>507</v>
      </c>
      <c r="O49">
        <v>765178</v>
      </c>
      <c r="P49" t="s">
        <v>508</v>
      </c>
      <c r="Q49" t="s">
        <v>513</v>
      </c>
      <c r="R49" t="s">
        <v>561</v>
      </c>
      <c r="S49" t="str">
        <f t="shared" si="16"/>
        <v>TEC</v>
      </c>
      <c r="T49" t="str">
        <f t="shared" si="17"/>
        <v>:PH</v>
      </c>
      <c r="U49" t="s">
        <v>626</v>
      </c>
      <c r="V49" t="s">
        <v>628</v>
      </c>
      <c r="W49">
        <v>587.91999999999996</v>
      </c>
      <c r="X49">
        <v>9</v>
      </c>
      <c r="Y49">
        <v>10</v>
      </c>
      <c r="Z49">
        <v>33.590000000000003</v>
      </c>
      <c r="AA49">
        <v>126.21</v>
      </c>
      <c r="AB49" t="s">
        <v>638</v>
      </c>
      <c r="AC49">
        <v>2025</v>
      </c>
      <c r="AD49" t="str">
        <f t="shared" si="18"/>
        <v>Debit Card</v>
      </c>
      <c r="AE49" t="s">
        <v>647</v>
      </c>
      <c r="AF49">
        <f t="shared" si="19"/>
        <v>53</v>
      </c>
      <c r="AG49" s="6">
        <f t="shared" si="20"/>
        <v>9646.7079245283039</v>
      </c>
      <c r="AH49">
        <f t="shared" si="21"/>
        <v>335</v>
      </c>
      <c r="AI49">
        <f t="shared" si="22"/>
        <v>16.077735849056594</v>
      </c>
      <c r="AJ49">
        <f t="shared" si="23"/>
        <v>19990.61</v>
      </c>
      <c r="AK49">
        <f t="shared" si="24"/>
        <v>68.73</v>
      </c>
      <c r="AL49">
        <f t="shared" si="25"/>
        <v>4</v>
      </c>
      <c r="AM49">
        <f t="shared" si="26"/>
        <v>94</v>
      </c>
      <c r="AN49">
        <f t="shared" si="27"/>
        <v>5291.28</v>
      </c>
      <c r="AO49">
        <f t="shared" si="28"/>
        <v>529.12799999999993</v>
      </c>
      <c r="AP49">
        <f t="shared" si="29"/>
        <v>4762.152</v>
      </c>
      <c r="AQ49">
        <f t="shared" si="30"/>
        <v>4888.3620000000001</v>
      </c>
      <c r="AR49">
        <f t="shared" si="31"/>
        <v>2</v>
      </c>
    </row>
    <row r="50" spans="1:44" x14ac:dyDescent="0.3">
      <c r="A50">
        <v>49</v>
      </c>
      <c r="B50" t="s">
        <v>73</v>
      </c>
      <c r="C50" t="str">
        <f>TEXT(Table1[[#This Row],[Order Date]],"dddd")</f>
        <v>Thursday</v>
      </c>
      <c r="D50" t="str">
        <f>TEXT(Table1[[#This Row],[Order Date]],"mmm")</f>
        <v>Jun</v>
      </c>
      <c r="E50" s="5" t="s">
        <v>173</v>
      </c>
      <c r="F50" s="3" t="s">
        <v>265</v>
      </c>
      <c r="G50" t="s">
        <v>310</v>
      </c>
      <c r="H50" t="s">
        <v>361</v>
      </c>
      <c r="I50" t="str">
        <f>PROPER(TRIM(Table1[[#This Row],[Customer Name]]))</f>
        <v>Aarya Verma</v>
      </c>
      <c r="J50" t="s">
        <v>455</v>
      </c>
      <c r="K50" t="s">
        <v>492</v>
      </c>
      <c r="L50" t="s">
        <v>495</v>
      </c>
      <c r="M50" t="s">
        <v>503</v>
      </c>
      <c r="N50" t="s">
        <v>507</v>
      </c>
      <c r="O50">
        <v>409349</v>
      </c>
      <c r="P50" t="s">
        <v>508</v>
      </c>
      <c r="Q50" t="s">
        <v>511</v>
      </c>
      <c r="R50" t="s">
        <v>562</v>
      </c>
      <c r="S50" t="str">
        <f t="shared" si="16"/>
        <v>FUR</v>
      </c>
      <c r="T50" t="str">
        <f t="shared" si="17"/>
        <v>:TBL</v>
      </c>
      <c r="U50" t="s">
        <v>617</v>
      </c>
      <c r="V50" t="s">
        <v>628</v>
      </c>
      <c r="W50">
        <v>619.92999999999995</v>
      </c>
      <c r="X50">
        <v>11</v>
      </c>
      <c r="Y50">
        <v>5</v>
      </c>
      <c r="Z50">
        <v>-8.5399999999999991</v>
      </c>
      <c r="AA50">
        <v>374.5</v>
      </c>
      <c r="AB50" t="s">
        <v>636</v>
      </c>
      <c r="AC50">
        <v>2025</v>
      </c>
      <c r="AD50" t="str">
        <f t="shared" si="18"/>
        <v>Debit Card</v>
      </c>
      <c r="AE50" t="s">
        <v>647</v>
      </c>
      <c r="AF50">
        <f t="shared" si="19"/>
        <v>52</v>
      </c>
      <c r="AG50" s="6">
        <f t="shared" si="20"/>
        <v>9820.9153846153858</v>
      </c>
      <c r="AH50">
        <f t="shared" si="21"/>
        <v>326</v>
      </c>
      <c r="AI50">
        <f t="shared" si="22"/>
        <v>15.740961538461532</v>
      </c>
      <c r="AJ50">
        <f t="shared" si="23"/>
        <v>19990.61</v>
      </c>
      <c r="AK50">
        <f t="shared" si="24"/>
        <v>68.73</v>
      </c>
      <c r="AL50">
        <f t="shared" si="25"/>
        <v>4</v>
      </c>
      <c r="AM50">
        <f t="shared" si="26"/>
        <v>94</v>
      </c>
      <c r="AN50">
        <f t="shared" si="27"/>
        <v>6819.23</v>
      </c>
      <c r="AO50">
        <f t="shared" si="28"/>
        <v>340.96149999999994</v>
      </c>
      <c r="AP50">
        <f t="shared" si="29"/>
        <v>6478.2684999999992</v>
      </c>
      <c r="AQ50">
        <f t="shared" si="30"/>
        <v>6852.7684999999992</v>
      </c>
      <c r="AR50">
        <f t="shared" si="31"/>
        <v>6</v>
      </c>
    </row>
    <row r="51" spans="1:44" x14ac:dyDescent="0.3">
      <c r="A51">
        <v>50</v>
      </c>
      <c r="B51" t="s">
        <v>74</v>
      </c>
      <c r="C51" t="str">
        <f>TEXT(Table1[[#This Row],[Order Date]],"dddd")</f>
        <v>Monday</v>
      </c>
      <c r="D51" t="str">
        <f>TEXT(Table1[[#This Row],[Order Date]],"mmm")</f>
        <v>Jun</v>
      </c>
      <c r="E51" s="5" t="s">
        <v>174</v>
      </c>
      <c r="F51" s="3" t="s">
        <v>265</v>
      </c>
      <c r="G51" t="s">
        <v>311</v>
      </c>
      <c r="H51" t="s">
        <v>362</v>
      </c>
      <c r="I51" t="str">
        <f>PROPER(TRIM(Table1[[#This Row],[Customer Name]]))</f>
        <v>Rohan Nair</v>
      </c>
      <c r="J51" t="s">
        <v>440</v>
      </c>
      <c r="K51" t="s">
        <v>490</v>
      </c>
      <c r="L51" t="s">
        <v>497</v>
      </c>
      <c r="M51" t="s">
        <v>501</v>
      </c>
      <c r="N51" t="s">
        <v>507</v>
      </c>
      <c r="O51">
        <v>438103</v>
      </c>
      <c r="P51" t="s">
        <v>508</v>
      </c>
      <c r="Q51" t="s">
        <v>512</v>
      </c>
      <c r="R51" t="s">
        <v>563</v>
      </c>
      <c r="S51" t="str">
        <f t="shared" si="16"/>
        <v>TEC</v>
      </c>
      <c r="T51" t="str">
        <f t="shared" si="17"/>
        <v>:MSW</v>
      </c>
      <c r="U51" t="s">
        <v>616</v>
      </c>
      <c r="V51" t="s">
        <v>630</v>
      </c>
      <c r="W51">
        <v>1209.99</v>
      </c>
      <c r="X51">
        <v>10</v>
      </c>
      <c r="Y51">
        <v>20</v>
      </c>
      <c r="Z51">
        <v>31.29</v>
      </c>
      <c r="AA51">
        <v>437.29</v>
      </c>
      <c r="AB51" t="s">
        <v>638</v>
      </c>
      <c r="AC51">
        <v>2025</v>
      </c>
      <c r="AD51" t="str">
        <f t="shared" si="18"/>
        <v>Net Banking</v>
      </c>
      <c r="AE51" t="s">
        <v>639</v>
      </c>
      <c r="AF51">
        <f t="shared" si="19"/>
        <v>51</v>
      </c>
      <c r="AG51" s="6">
        <f t="shared" si="20"/>
        <v>10001.326862745098</v>
      </c>
      <c r="AH51">
        <f t="shared" si="21"/>
        <v>315</v>
      </c>
      <c r="AI51">
        <f t="shared" si="22"/>
        <v>16.217058823529403</v>
      </c>
      <c r="AJ51">
        <f t="shared" si="23"/>
        <v>19990.61</v>
      </c>
      <c r="AK51">
        <f t="shared" si="24"/>
        <v>68.73</v>
      </c>
      <c r="AL51">
        <f t="shared" si="25"/>
        <v>4</v>
      </c>
      <c r="AM51">
        <f t="shared" si="26"/>
        <v>94</v>
      </c>
      <c r="AN51">
        <f t="shared" si="27"/>
        <v>12099.9</v>
      </c>
      <c r="AO51">
        <f t="shared" si="28"/>
        <v>2419.98</v>
      </c>
      <c r="AP51">
        <f t="shared" si="29"/>
        <v>9679.92</v>
      </c>
      <c r="AQ51">
        <f t="shared" si="30"/>
        <v>10117.210000000001</v>
      </c>
      <c r="AR51">
        <f t="shared" si="31"/>
        <v>2</v>
      </c>
    </row>
    <row r="52" spans="1:44" x14ac:dyDescent="0.3">
      <c r="A52">
        <v>51</v>
      </c>
      <c r="B52" t="s">
        <v>75</v>
      </c>
      <c r="C52" t="str">
        <f>TEXT(Table1[[#This Row],[Order Date]],"dddd")</f>
        <v>Thursday</v>
      </c>
      <c r="D52" t="str">
        <f>TEXT(Table1[[#This Row],[Order Date]],"mmm")</f>
        <v>Jul</v>
      </c>
      <c r="E52" s="5" t="s">
        <v>175</v>
      </c>
      <c r="F52" s="3" t="s">
        <v>266</v>
      </c>
      <c r="G52" t="s">
        <v>309</v>
      </c>
      <c r="H52" t="s">
        <v>363</v>
      </c>
      <c r="I52" t="str">
        <f>PROPER(TRIM(Table1[[#This Row],[Customer Name]]))</f>
        <v>Ananya Iyer</v>
      </c>
      <c r="J52" t="s">
        <v>456</v>
      </c>
      <c r="K52" t="s">
        <v>491</v>
      </c>
      <c r="L52" t="s">
        <v>496</v>
      </c>
      <c r="M52" t="s">
        <v>496</v>
      </c>
      <c r="N52" t="s">
        <v>507</v>
      </c>
      <c r="O52">
        <v>474461</v>
      </c>
      <c r="P52" t="s">
        <v>508</v>
      </c>
      <c r="Q52" t="s">
        <v>509</v>
      </c>
      <c r="R52" t="s">
        <v>564</v>
      </c>
      <c r="S52" t="str">
        <f t="shared" si="16"/>
        <v>TEC</v>
      </c>
      <c r="T52" t="str">
        <f t="shared" si="17"/>
        <v>:MON</v>
      </c>
      <c r="U52" t="s">
        <v>614</v>
      </c>
      <c r="V52" t="s">
        <v>628</v>
      </c>
      <c r="W52">
        <v>667.35</v>
      </c>
      <c r="X52">
        <v>9</v>
      </c>
      <c r="Y52">
        <v>20</v>
      </c>
      <c r="Z52">
        <v>-3.56</v>
      </c>
      <c r="AA52">
        <v>407.54</v>
      </c>
      <c r="AB52" t="s">
        <v>638</v>
      </c>
      <c r="AC52">
        <v>2025</v>
      </c>
      <c r="AD52" t="str">
        <f t="shared" si="18"/>
        <v>Credit Card</v>
      </c>
      <c r="AE52" t="s">
        <v>645</v>
      </c>
      <c r="AF52">
        <f t="shared" si="19"/>
        <v>50</v>
      </c>
      <c r="AG52" s="6">
        <f t="shared" si="20"/>
        <v>10177.153600000001</v>
      </c>
      <c r="AH52">
        <f t="shared" si="21"/>
        <v>305</v>
      </c>
      <c r="AI52">
        <f t="shared" si="22"/>
        <v>15.915599999999992</v>
      </c>
      <c r="AJ52">
        <f t="shared" si="23"/>
        <v>19990.61</v>
      </c>
      <c r="AK52">
        <f t="shared" si="24"/>
        <v>68.73</v>
      </c>
      <c r="AL52">
        <f t="shared" si="25"/>
        <v>4</v>
      </c>
      <c r="AM52">
        <f t="shared" si="26"/>
        <v>94</v>
      </c>
      <c r="AN52">
        <f t="shared" si="27"/>
        <v>6006.1500000000005</v>
      </c>
      <c r="AO52">
        <f t="shared" si="28"/>
        <v>1201.2300000000002</v>
      </c>
      <c r="AP52">
        <f t="shared" si="29"/>
        <v>4804.92</v>
      </c>
      <c r="AQ52">
        <f t="shared" si="30"/>
        <v>5212.46</v>
      </c>
      <c r="AR52">
        <f t="shared" si="31"/>
        <v>3</v>
      </c>
    </row>
    <row r="53" spans="1:44" x14ac:dyDescent="0.3">
      <c r="A53">
        <v>52</v>
      </c>
      <c r="B53" t="s">
        <v>76</v>
      </c>
      <c r="C53" t="str">
        <f>TEXT(Table1[[#This Row],[Order Date]],"dddd")</f>
        <v>Monday</v>
      </c>
      <c r="D53" t="str">
        <f>TEXT(Table1[[#This Row],[Order Date]],"mmm")</f>
        <v>Jul</v>
      </c>
      <c r="E53" s="5" t="s">
        <v>176</v>
      </c>
      <c r="F53" s="3" t="s">
        <v>267</v>
      </c>
      <c r="G53" t="s">
        <v>309</v>
      </c>
      <c r="H53" t="s">
        <v>364</v>
      </c>
      <c r="I53" t="str">
        <f>PROPER(TRIM(Table1[[#This Row],[Customer Name]]))</f>
        <v>Priya Iyer</v>
      </c>
      <c r="J53" t="s">
        <v>445</v>
      </c>
      <c r="K53" t="s">
        <v>490</v>
      </c>
      <c r="L53" t="s">
        <v>500</v>
      </c>
      <c r="M53" t="s">
        <v>506</v>
      </c>
      <c r="N53" t="s">
        <v>507</v>
      </c>
      <c r="O53">
        <v>764779</v>
      </c>
      <c r="P53" t="s">
        <v>508</v>
      </c>
      <c r="Q53" t="s">
        <v>513</v>
      </c>
      <c r="R53" t="s">
        <v>565</v>
      </c>
      <c r="S53" t="str">
        <f t="shared" si="16"/>
        <v>TEC</v>
      </c>
      <c r="T53" t="str">
        <f t="shared" si="17"/>
        <v>:PH</v>
      </c>
      <c r="U53" t="s">
        <v>626</v>
      </c>
      <c r="V53" t="s">
        <v>632</v>
      </c>
      <c r="W53">
        <v>1427.37</v>
      </c>
      <c r="X53">
        <v>10</v>
      </c>
      <c r="Y53">
        <v>20</v>
      </c>
      <c r="Z53">
        <v>6.76</v>
      </c>
      <c r="AA53">
        <v>551.27</v>
      </c>
      <c r="AB53" t="s">
        <v>637</v>
      </c>
      <c r="AC53">
        <v>2025</v>
      </c>
      <c r="AD53" t="str">
        <f t="shared" si="18"/>
        <v>Debit Card</v>
      </c>
      <c r="AE53" t="s">
        <v>647</v>
      </c>
      <c r="AF53">
        <f t="shared" si="19"/>
        <v>49</v>
      </c>
      <c r="AG53" s="6">
        <f t="shared" si="20"/>
        <v>10371.231224489797</v>
      </c>
      <c r="AH53">
        <f t="shared" si="21"/>
        <v>296</v>
      </c>
      <c r="AI53">
        <f t="shared" si="22"/>
        <v>16.313061224489786</v>
      </c>
      <c r="AJ53">
        <f t="shared" si="23"/>
        <v>19990.61</v>
      </c>
      <c r="AK53">
        <f t="shared" si="24"/>
        <v>68.73</v>
      </c>
      <c r="AL53">
        <f t="shared" si="25"/>
        <v>4</v>
      </c>
      <c r="AM53">
        <f t="shared" si="26"/>
        <v>94</v>
      </c>
      <c r="AN53">
        <f t="shared" si="27"/>
        <v>14273.699999999999</v>
      </c>
      <c r="AO53">
        <f t="shared" si="28"/>
        <v>2854.74</v>
      </c>
      <c r="AP53">
        <f t="shared" si="29"/>
        <v>11418.96</v>
      </c>
      <c r="AQ53">
        <f t="shared" si="30"/>
        <v>11970.23</v>
      </c>
      <c r="AR53">
        <f t="shared" si="31"/>
        <v>6</v>
      </c>
    </row>
    <row r="54" spans="1:44" x14ac:dyDescent="0.3">
      <c r="A54">
        <v>53</v>
      </c>
      <c r="B54" t="s">
        <v>77</v>
      </c>
      <c r="C54" t="str">
        <f>TEXT(Table1[[#This Row],[Order Date]],"dddd")</f>
        <v>Friday</v>
      </c>
      <c r="D54" t="str">
        <f>TEXT(Table1[[#This Row],[Order Date]],"mmm")</f>
        <v>Jul</v>
      </c>
      <c r="E54" s="5" t="s">
        <v>177</v>
      </c>
      <c r="F54" s="3" t="s">
        <v>268</v>
      </c>
      <c r="G54" t="s">
        <v>309</v>
      </c>
      <c r="H54" t="s">
        <v>365</v>
      </c>
      <c r="I54" t="str">
        <f>PROPER(TRIM(Table1[[#This Row],[Customer Name]]))</f>
        <v>Priya Reddy</v>
      </c>
      <c r="J54" t="s">
        <v>457</v>
      </c>
      <c r="K54" t="s">
        <v>492</v>
      </c>
      <c r="L54" t="s">
        <v>500</v>
      </c>
      <c r="M54" t="s">
        <v>505</v>
      </c>
      <c r="N54" t="s">
        <v>507</v>
      </c>
      <c r="O54">
        <v>489931</v>
      </c>
      <c r="P54" t="s">
        <v>508</v>
      </c>
      <c r="Q54" t="s">
        <v>511</v>
      </c>
      <c r="R54" t="s">
        <v>566</v>
      </c>
      <c r="S54" t="str">
        <f t="shared" si="16"/>
        <v>OFF</v>
      </c>
      <c r="T54" t="str">
        <f t="shared" si="17"/>
        <v>:ART</v>
      </c>
      <c r="U54" t="s">
        <v>623</v>
      </c>
      <c r="V54" t="s">
        <v>630</v>
      </c>
      <c r="W54">
        <v>1113.45</v>
      </c>
      <c r="X54">
        <v>10</v>
      </c>
      <c r="Y54">
        <v>10</v>
      </c>
      <c r="Z54">
        <v>27.18</v>
      </c>
      <c r="AA54">
        <v>526.80999999999995</v>
      </c>
      <c r="AB54" t="s">
        <v>638</v>
      </c>
      <c r="AC54">
        <v>2025</v>
      </c>
      <c r="AD54" t="str">
        <f t="shared" si="18"/>
        <v>Debit Card</v>
      </c>
      <c r="AE54" t="s">
        <v>647</v>
      </c>
      <c r="AF54">
        <f t="shared" si="19"/>
        <v>48</v>
      </c>
      <c r="AG54" s="6">
        <f t="shared" si="20"/>
        <v>10557.561666666668</v>
      </c>
      <c r="AH54">
        <f t="shared" si="21"/>
        <v>286</v>
      </c>
      <c r="AI54">
        <f t="shared" si="22"/>
        <v>16.512083333333326</v>
      </c>
      <c r="AJ54">
        <f t="shared" si="23"/>
        <v>19990.61</v>
      </c>
      <c r="AK54">
        <f t="shared" si="24"/>
        <v>68.73</v>
      </c>
      <c r="AL54">
        <f t="shared" si="25"/>
        <v>4</v>
      </c>
      <c r="AM54">
        <f t="shared" si="26"/>
        <v>94</v>
      </c>
      <c r="AN54">
        <f t="shared" si="27"/>
        <v>11134.5</v>
      </c>
      <c r="AO54">
        <f t="shared" si="28"/>
        <v>1113.45</v>
      </c>
      <c r="AP54">
        <f t="shared" si="29"/>
        <v>10021.049999999999</v>
      </c>
      <c r="AQ54">
        <f t="shared" si="30"/>
        <v>10547.859999999999</v>
      </c>
      <c r="AR54">
        <f t="shared" si="31"/>
        <v>2</v>
      </c>
    </row>
    <row r="55" spans="1:44" x14ac:dyDescent="0.3">
      <c r="A55">
        <v>54</v>
      </c>
      <c r="B55" t="s">
        <v>78</v>
      </c>
      <c r="C55" t="str">
        <f>TEXT(Table1[[#This Row],[Order Date]],"dddd")</f>
        <v>Monday</v>
      </c>
      <c r="D55" t="str">
        <f>TEXT(Table1[[#This Row],[Order Date]],"mmm")</f>
        <v>Jul</v>
      </c>
      <c r="E55" s="5" t="s">
        <v>178</v>
      </c>
      <c r="F55" s="3" t="s">
        <v>269</v>
      </c>
      <c r="G55" t="s">
        <v>309</v>
      </c>
      <c r="H55" t="s">
        <v>366</v>
      </c>
      <c r="I55" t="str">
        <f>PROPER(TRIM(Table1[[#This Row],[Customer Name]]))</f>
        <v>Diya Sharma</v>
      </c>
      <c r="J55" t="s">
        <v>458</v>
      </c>
      <c r="K55" t="s">
        <v>491</v>
      </c>
      <c r="L55" t="s">
        <v>496</v>
      </c>
      <c r="M55" t="s">
        <v>501</v>
      </c>
      <c r="N55" t="s">
        <v>507</v>
      </c>
      <c r="O55">
        <v>406802</v>
      </c>
      <c r="P55" t="s">
        <v>508</v>
      </c>
      <c r="Q55" t="s">
        <v>513</v>
      </c>
      <c r="R55" t="s">
        <v>567</v>
      </c>
      <c r="S55" t="str">
        <f t="shared" si="16"/>
        <v>FUR</v>
      </c>
      <c r="T55" t="str">
        <f t="shared" si="17"/>
        <v>:CH</v>
      </c>
      <c r="U55" t="s">
        <v>615</v>
      </c>
      <c r="V55" t="s">
        <v>632</v>
      </c>
      <c r="W55">
        <v>1600.48</v>
      </c>
      <c r="X55">
        <v>7</v>
      </c>
      <c r="Y55">
        <v>15</v>
      </c>
      <c r="Z55">
        <v>-1.96</v>
      </c>
      <c r="AA55">
        <v>231.88</v>
      </c>
      <c r="AB55" t="s">
        <v>637</v>
      </c>
      <c r="AC55">
        <v>2025</v>
      </c>
      <c r="AD55" t="str">
        <f t="shared" si="18"/>
        <v>Mobile Wallets</v>
      </c>
      <c r="AE55" t="s">
        <v>650</v>
      </c>
      <c r="AF55">
        <f t="shared" si="19"/>
        <v>47</v>
      </c>
      <c r="AG55" s="6">
        <f t="shared" si="20"/>
        <v>10758.500212765957</v>
      </c>
      <c r="AH55">
        <f t="shared" si="21"/>
        <v>276</v>
      </c>
      <c r="AI55">
        <f t="shared" si="22"/>
        <v>16.285106382978718</v>
      </c>
      <c r="AJ55">
        <f t="shared" si="23"/>
        <v>19990.61</v>
      </c>
      <c r="AK55">
        <f t="shared" si="24"/>
        <v>68.73</v>
      </c>
      <c r="AL55">
        <f t="shared" si="25"/>
        <v>4</v>
      </c>
      <c r="AM55">
        <f t="shared" si="26"/>
        <v>94</v>
      </c>
      <c r="AN55">
        <f t="shared" si="27"/>
        <v>11203.36</v>
      </c>
      <c r="AO55">
        <f t="shared" si="28"/>
        <v>1680.5040000000001</v>
      </c>
      <c r="AP55">
        <f t="shared" si="29"/>
        <v>9522.8559999999998</v>
      </c>
      <c r="AQ55">
        <f t="shared" si="30"/>
        <v>9754.735999999999</v>
      </c>
      <c r="AR55">
        <f t="shared" si="31"/>
        <v>6</v>
      </c>
    </row>
    <row r="56" spans="1:44" x14ac:dyDescent="0.3">
      <c r="A56">
        <v>55</v>
      </c>
      <c r="B56" t="s">
        <v>79</v>
      </c>
      <c r="C56" t="str">
        <f>TEXT(Table1[[#This Row],[Order Date]],"dddd")</f>
        <v>Friday</v>
      </c>
      <c r="D56" t="str">
        <f>TEXT(Table1[[#This Row],[Order Date]],"mmm")</f>
        <v>Jul</v>
      </c>
      <c r="E56" s="5" t="s">
        <v>179</v>
      </c>
      <c r="F56" s="3" t="s">
        <v>269</v>
      </c>
      <c r="G56" t="s">
        <v>311</v>
      </c>
      <c r="H56" t="s">
        <v>367</v>
      </c>
      <c r="I56" t="str">
        <f>PROPER(TRIM(Table1[[#This Row],[Customer Name]]))</f>
        <v>Vihaan Sharma</v>
      </c>
      <c r="J56" t="s">
        <v>459</v>
      </c>
      <c r="K56" t="s">
        <v>492</v>
      </c>
      <c r="L56" t="s">
        <v>493</v>
      </c>
      <c r="M56" t="s">
        <v>506</v>
      </c>
      <c r="N56" t="s">
        <v>507</v>
      </c>
      <c r="O56">
        <v>503151</v>
      </c>
      <c r="P56" t="s">
        <v>508</v>
      </c>
      <c r="Q56" t="s">
        <v>512</v>
      </c>
      <c r="R56" t="s">
        <v>568</v>
      </c>
      <c r="S56" t="str">
        <f t="shared" si="16"/>
        <v>OFF</v>
      </c>
      <c r="T56" t="str">
        <f t="shared" si="17"/>
        <v>:BIN</v>
      </c>
      <c r="U56" t="s">
        <v>625</v>
      </c>
      <c r="V56" t="s">
        <v>634</v>
      </c>
      <c r="W56">
        <v>13162.57</v>
      </c>
      <c r="X56">
        <v>1</v>
      </c>
      <c r="Y56">
        <v>25</v>
      </c>
      <c r="Z56">
        <v>30.9</v>
      </c>
      <c r="AA56">
        <v>320.47000000000003</v>
      </c>
      <c r="AB56" t="s">
        <v>638</v>
      </c>
      <c r="AC56">
        <v>2025</v>
      </c>
      <c r="AD56" t="str">
        <f t="shared" si="18"/>
        <v>Mobile Wallets</v>
      </c>
      <c r="AE56" t="s">
        <v>650</v>
      </c>
      <c r="AF56">
        <f t="shared" si="19"/>
        <v>46</v>
      </c>
      <c r="AG56" s="6">
        <f t="shared" si="20"/>
        <v>10957.587608695652</v>
      </c>
      <c r="AH56">
        <f t="shared" si="21"/>
        <v>269</v>
      </c>
      <c r="AI56">
        <f t="shared" si="22"/>
        <v>16.681739130434778</v>
      </c>
      <c r="AJ56">
        <f t="shared" si="23"/>
        <v>19990.61</v>
      </c>
      <c r="AK56">
        <f t="shared" si="24"/>
        <v>68.73</v>
      </c>
      <c r="AL56">
        <f t="shared" si="25"/>
        <v>4</v>
      </c>
      <c r="AM56">
        <f t="shared" si="26"/>
        <v>94</v>
      </c>
      <c r="AN56">
        <f t="shared" si="27"/>
        <v>13162.57</v>
      </c>
      <c r="AO56">
        <f t="shared" si="28"/>
        <v>3290.6424999999999</v>
      </c>
      <c r="AP56">
        <f t="shared" si="29"/>
        <v>9871.9274999999998</v>
      </c>
      <c r="AQ56">
        <f t="shared" si="30"/>
        <v>10192.397499999999</v>
      </c>
      <c r="AR56">
        <f t="shared" si="31"/>
        <v>2</v>
      </c>
    </row>
    <row r="57" spans="1:44" x14ac:dyDescent="0.3">
      <c r="A57">
        <v>56</v>
      </c>
      <c r="B57" t="s">
        <v>80</v>
      </c>
      <c r="C57" t="str">
        <f>TEXT(Table1[[#This Row],[Order Date]],"dddd")</f>
        <v>Tuesday</v>
      </c>
      <c r="D57" t="str">
        <f>TEXT(Table1[[#This Row],[Order Date]],"mmm")</f>
        <v>Jul</v>
      </c>
      <c r="E57" s="5" t="s">
        <v>180</v>
      </c>
      <c r="F57" s="3" t="s">
        <v>270</v>
      </c>
      <c r="G57" t="s">
        <v>310</v>
      </c>
      <c r="H57" t="s">
        <v>368</v>
      </c>
      <c r="I57" t="str">
        <f>PROPER(TRIM(Table1[[#This Row],[Customer Name]]))</f>
        <v>Ayaan Sharma</v>
      </c>
      <c r="J57" t="s">
        <v>460</v>
      </c>
      <c r="K57" t="s">
        <v>491</v>
      </c>
      <c r="L57" t="s">
        <v>494</v>
      </c>
      <c r="M57" t="s">
        <v>504</v>
      </c>
      <c r="N57" t="s">
        <v>507</v>
      </c>
      <c r="O57">
        <v>603340</v>
      </c>
      <c r="P57" t="s">
        <v>508</v>
      </c>
      <c r="Q57" t="s">
        <v>513</v>
      </c>
      <c r="R57" t="s">
        <v>569</v>
      </c>
      <c r="S57" t="str">
        <f t="shared" si="16"/>
        <v>OFF</v>
      </c>
      <c r="T57" t="str">
        <f t="shared" si="17"/>
        <v>:ART</v>
      </c>
      <c r="U57" t="s">
        <v>623</v>
      </c>
      <c r="V57" t="s">
        <v>629</v>
      </c>
      <c r="W57">
        <v>45231.21</v>
      </c>
      <c r="X57">
        <v>7</v>
      </c>
      <c r="Y57">
        <v>25</v>
      </c>
      <c r="Z57">
        <v>31.61</v>
      </c>
      <c r="AA57">
        <v>13788.61</v>
      </c>
      <c r="AB57" t="s">
        <v>635</v>
      </c>
      <c r="AC57">
        <v>2025</v>
      </c>
      <c r="AD57" t="str">
        <f t="shared" si="18"/>
        <v>Cash/Cheque</v>
      </c>
      <c r="AE57" t="s">
        <v>649</v>
      </c>
      <c r="AF57">
        <f t="shared" si="19"/>
        <v>45</v>
      </c>
      <c r="AG57" s="6">
        <f t="shared" si="20"/>
        <v>10908.588000000002</v>
      </c>
      <c r="AH57">
        <f t="shared" si="21"/>
        <v>268</v>
      </c>
      <c r="AI57">
        <f t="shared" si="22"/>
        <v>16.365777777777772</v>
      </c>
      <c r="AJ57">
        <f t="shared" si="23"/>
        <v>19990.61</v>
      </c>
      <c r="AK57">
        <f t="shared" si="24"/>
        <v>68.73</v>
      </c>
      <c r="AL57">
        <f t="shared" si="25"/>
        <v>4</v>
      </c>
      <c r="AM57">
        <f t="shared" si="26"/>
        <v>93</v>
      </c>
      <c r="AN57">
        <f t="shared" si="27"/>
        <v>316618.46999999997</v>
      </c>
      <c r="AO57">
        <f t="shared" si="28"/>
        <v>79154.617499999993</v>
      </c>
      <c r="AP57">
        <f t="shared" si="29"/>
        <v>237463.85249999998</v>
      </c>
      <c r="AQ57">
        <f t="shared" si="30"/>
        <v>251252.46249999997</v>
      </c>
      <c r="AR57">
        <f t="shared" si="31"/>
        <v>3</v>
      </c>
    </row>
    <row r="58" spans="1:44" x14ac:dyDescent="0.3">
      <c r="A58">
        <v>57</v>
      </c>
      <c r="B58" t="s">
        <v>81</v>
      </c>
      <c r="C58" t="str">
        <f>TEXT(Table1[[#This Row],[Order Date]],"dddd")</f>
        <v>Friday</v>
      </c>
      <c r="D58" t="str">
        <f>TEXT(Table1[[#This Row],[Order Date]],"mmm")</f>
        <v>Jul</v>
      </c>
      <c r="E58" s="5" t="s">
        <v>181</v>
      </c>
      <c r="F58" s="3" t="s">
        <v>271</v>
      </c>
      <c r="G58" t="s">
        <v>310</v>
      </c>
      <c r="H58" t="s">
        <v>369</v>
      </c>
      <c r="I58" t="str">
        <f>PROPER(TRIM(Table1[[#This Row],[Customer Name]]))</f>
        <v>Aditya Malhotra</v>
      </c>
      <c r="J58" t="s">
        <v>461</v>
      </c>
      <c r="K58" t="s">
        <v>490</v>
      </c>
      <c r="L58" t="s">
        <v>497</v>
      </c>
      <c r="M58" t="s">
        <v>504</v>
      </c>
      <c r="N58" t="s">
        <v>507</v>
      </c>
      <c r="O58">
        <v>579209</v>
      </c>
      <c r="P58" t="s">
        <v>508</v>
      </c>
      <c r="Q58" t="s">
        <v>510</v>
      </c>
      <c r="R58" t="s">
        <v>570</v>
      </c>
      <c r="S58" t="str">
        <f t="shared" si="16"/>
        <v>OFF</v>
      </c>
      <c r="T58" t="str">
        <f t="shared" si="17"/>
        <v>:CAB</v>
      </c>
      <c r="U58" t="s">
        <v>624</v>
      </c>
      <c r="V58" t="s">
        <v>634</v>
      </c>
      <c r="W58">
        <v>11212.03</v>
      </c>
      <c r="X58">
        <v>10</v>
      </c>
      <c r="Y58">
        <v>10</v>
      </c>
      <c r="Z58">
        <v>15.37</v>
      </c>
      <c r="AA58">
        <v>5471.06</v>
      </c>
      <c r="AB58" t="s">
        <v>638</v>
      </c>
      <c r="AC58">
        <v>2025</v>
      </c>
      <c r="AD58" t="str">
        <f t="shared" si="18"/>
        <v>Gift Cards</v>
      </c>
      <c r="AE58" t="s">
        <v>646</v>
      </c>
      <c r="AF58">
        <f t="shared" si="19"/>
        <v>44</v>
      </c>
      <c r="AG58" s="6">
        <f t="shared" si="20"/>
        <v>10128.52840909091</v>
      </c>
      <c r="AH58">
        <f t="shared" si="21"/>
        <v>261</v>
      </c>
      <c r="AI58">
        <f t="shared" si="22"/>
        <v>16.019318181818178</v>
      </c>
      <c r="AJ58">
        <f t="shared" si="23"/>
        <v>19990.61</v>
      </c>
      <c r="AK58">
        <f t="shared" si="24"/>
        <v>68.73</v>
      </c>
      <c r="AL58">
        <f t="shared" si="25"/>
        <v>4</v>
      </c>
      <c r="AM58">
        <f t="shared" si="26"/>
        <v>86</v>
      </c>
      <c r="AN58">
        <f t="shared" si="27"/>
        <v>112120.3</v>
      </c>
      <c r="AO58">
        <f t="shared" si="28"/>
        <v>11212.03</v>
      </c>
      <c r="AP58">
        <f t="shared" si="29"/>
        <v>100908.27</v>
      </c>
      <c r="AQ58">
        <f t="shared" si="30"/>
        <v>106379.33</v>
      </c>
      <c r="AR58">
        <f t="shared" si="31"/>
        <v>2</v>
      </c>
    </row>
    <row r="59" spans="1:44" x14ac:dyDescent="0.3">
      <c r="A59">
        <v>58</v>
      </c>
      <c r="B59" t="s">
        <v>82</v>
      </c>
      <c r="C59" t="str">
        <f>TEXT(Table1[[#This Row],[Order Date]],"dddd")</f>
        <v>Tuesday</v>
      </c>
      <c r="D59" t="str">
        <f>TEXT(Table1[[#This Row],[Order Date]],"mmm")</f>
        <v>Jul</v>
      </c>
      <c r="E59" s="5" t="s">
        <v>182</v>
      </c>
      <c r="F59" s="3" t="s">
        <v>272</v>
      </c>
      <c r="G59" t="s">
        <v>310</v>
      </c>
      <c r="H59" t="s">
        <v>370</v>
      </c>
      <c r="I59" t="str">
        <f>PROPER(TRIM(Table1[[#This Row],[Customer Name]]))</f>
        <v>Priya Reddy</v>
      </c>
      <c r="J59" t="s">
        <v>457</v>
      </c>
      <c r="K59" t="s">
        <v>492</v>
      </c>
      <c r="L59" t="s">
        <v>497</v>
      </c>
      <c r="M59" t="s">
        <v>501</v>
      </c>
      <c r="N59" t="s">
        <v>507</v>
      </c>
      <c r="O59">
        <v>554698</v>
      </c>
      <c r="P59" t="s">
        <v>508</v>
      </c>
      <c r="Q59" t="s">
        <v>511</v>
      </c>
      <c r="R59" t="s">
        <v>571</v>
      </c>
      <c r="S59" t="str">
        <f t="shared" si="16"/>
        <v>TEC</v>
      </c>
      <c r="T59" t="str">
        <f t="shared" si="17"/>
        <v>:PH</v>
      </c>
      <c r="U59" t="s">
        <v>626</v>
      </c>
      <c r="V59" t="s">
        <v>634</v>
      </c>
      <c r="W59">
        <v>11453.54</v>
      </c>
      <c r="X59">
        <v>5</v>
      </c>
      <c r="Y59">
        <v>25</v>
      </c>
      <c r="Z59">
        <v>-9.68</v>
      </c>
      <c r="AA59">
        <v>3207.06</v>
      </c>
      <c r="AB59" t="s">
        <v>635</v>
      </c>
      <c r="AC59">
        <v>2025</v>
      </c>
      <c r="AD59" t="str">
        <f t="shared" si="18"/>
        <v>Gift Cards</v>
      </c>
      <c r="AE59" t="s">
        <v>646</v>
      </c>
      <c r="AF59">
        <f t="shared" si="19"/>
        <v>43</v>
      </c>
      <c r="AG59" s="6">
        <f t="shared" si="20"/>
        <v>10103.330697674419</v>
      </c>
      <c r="AH59">
        <f t="shared" si="21"/>
        <v>251</v>
      </c>
      <c r="AI59">
        <f t="shared" si="22"/>
        <v>16.034418604651162</v>
      </c>
      <c r="AJ59">
        <f t="shared" si="23"/>
        <v>19990.61</v>
      </c>
      <c r="AK59">
        <f t="shared" si="24"/>
        <v>68.73</v>
      </c>
      <c r="AL59">
        <f t="shared" si="25"/>
        <v>4</v>
      </c>
      <c r="AM59">
        <f t="shared" si="26"/>
        <v>76</v>
      </c>
      <c r="AN59">
        <f t="shared" si="27"/>
        <v>57267.700000000004</v>
      </c>
      <c r="AO59">
        <f t="shared" si="28"/>
        <v>14316.924999999999</v>
      </c>
      <c r="AP59">
        <f t="shared" si="29"/>
        <v>42950.775000000009</v>
      </c>
      <c r="AQ59">
        <f t="shared" si="30"/>
        <v>46157.835000000006</v>
      </c>
      <c r="AR59">
        <f t="shared" si="31"/>
        <v>2</v>
      </c>
    </row>
    <row r="60" spans="1:44" x14ac:dyDescent="0.3">
      <c r="A60">
        <v>59</v>
      </c>
      <c r="B60" t="s">
        <v>83</v>
      </c>
      <c r="C60" t="str">
        <f>TEXT(Table1[[#This Row],[Order Date]],"dddd")</f>
        <v>Saturday</v>
      </c>
      <c r="D60" t="str">
        <f>TEXT(Table1[[#This Row],[Order Date]],"mmm")</f>
        <v>Aug</v>
      </c>
      <c r="E60" s="5" t="s">
        <v>183</v>
      </c>
      <c r="F60" s="3" t="s">
        <v>273</v>
      </c>
      <c r="G60" t="s">
        <v>310</v>
      </c>
      <c r="H60" t="s">
        <v>371</v>
      </c>
      <c r="I60" t="str">
        <f>PROPER(TRIM(Table1[[#This Row],[Customer Name]]))</f>
        <v>Aarya Nair</v>
      </c>
      <c r="J60" t="s">
        <v>462</v>
      </c>
      <c r="K60" t="s">
        <v>492</v>
      </c>
      <c r="L60" t="s">
        <v>496</v>
      </c>
      <c r="M60" t="s">
        <v>504</v>
      </c>
      <c r="N60" t="s">
        <v>507</v>
      </c>
      <c r="O60">
        <v>613946</v>
      </c>
      <c r="P60" t="s">
        <v>508</v>
      </c>
      <c r="Q60" t="s">
        <v>513</v>
      </c>
      <c r="R60" t="s">
        <v>572</v>
      </c>
      <c r="S60" t="str">
        <f t="shared" si="16"/>
        <v>OFF</v>
      </c>
      <c r="T60" t="str">
        <f t="shared" si="17"/>
        <v>:ART</v>
      </c>
      <c r="U60" t="s">
        <v>623</v>
      </c>
      <c r="V60" t="s">
        <v>632</v>
      </c>
      <c r="W60">
        <v>1355.52</v>
      </c>
      <c r="X60">
        <v>6</v>
      </c>
      <c r="Y60">
        <v>20</v>
      </c>
      <c r="Z60">
        <v>4.3499999999999996</v>
      </c>
      <c r="AA60">
        <v>304.99</v>
      </c>
      <c r="AB60" t="s">
        <v>635</v>
      </c>
      <c r="AC60">
        <v>2025</v>
      </c>
      <c r="AD60" t="str">
        <f t="shared" si="18"/>
        <v>UPI</v>
      </c>
      <c r="AE60" t="s">
        <v>648</v>
      </c>
      <c r="AF60">
        <f t="shared" si="19"/>
        <v>42</v>
      </c>
      <c r="AG60" s="6">
        <f t="shared" si="20"/>
        <v>10071.182857142858</v>
      </c>
      <c r="AH60">
        <f t="shared" si="21"/>
        <v>246</v>
      </c>
      <c r="AI60">
        <f t="shared" si="22"/>
        <v>16.646666666666665</v>
      </c>
      <c r="AJ60">
        <f t="shared" si="23"/>
        <v>19990.61</v>
      </c>
      <c r="AK60">
        <f t="shared" si="24"/>
        <v>68.73</v>
      </c>
      <c r="AL60">
        <f t="shared" si="25"/>
        <v>4</v>
      </c>
      <c r="AM60">
        <f t="shared" si="26"/>
        <v>71</v>
      </c>
      <c r="AN60">
        <f t="shared" si="27"/>
        <v>8133.12</v>
      </c>
      <c r="AO60">
        <f t="shared" si="28"/>
        <v>1626.624</v>
      </c>
      <c r="AP60">
        <f t="shared" si="29"/>
        <v>6506.4960000000001</v>
      </c>
      <c r="AQ60">
        <f t="shared" si="30"/>
        <v>6811.4859999999999</v>
      </c>
      <c r="AR60">
        <f t="shared" si="31"/>
        <v>2</v>
      </c>
    </row>
    <row r="61" spans="1:44" x14ac:dyDescent="0.3">
      <c r="A61">
        <v>60</v>
      </c>
      <c r="B61" t="s">
        <v>84</v>
      </c>
      <c r="C61" t="str">
        <f>TEXT(Table1[[#This Row],[Order Date]],"dddd")</f>
        <v>Tuesday</v>
      </c>
      <c r="D61" t="str">
        <f>TEXT(Table1[[#This Row],[Order Date]],"mmm")</f>
        <v>Aug</v>
      </c>
      <c r="E61" s="5" t="s">
        <v>184</v>
      </c>
      <c r="F61" s="3" t="s">
        <v>274</v>
      </c>
      <c r="G61" t="s">
        <v>312</v>
      </c>
      <c r="H61" t="s">
        <v>372</v>
      </c>
      <c r="I61" t="str">
        <f>PROPER(TRIM(Table1[[#This Row],[Customer Name]]))</f>
        <v>Aarya Reddy</v>
      </c>
      <c r="J61" t="s">
        <v>463</v>
      </c>
      <c r="K61" t="s">
        <v>491</v>
      </c>
      <c r="L61" t="s">
        <v>498</v>
      </c>
      <c r="M61" t="s">
        <v>502</v>
      </c>
      <c r="N61" t="s">
        <v>507</v>
      </c>
      <c r="O61">
        <v>631916</v>
      </c>
      <c r="P61" t="s">
        <v>508</v>
      </c>
      <c r="Q61" t="s">
        <v>512</v>
      </c>
      <c r="R61" t="s">
        <v>573</v>
      </c>
      <c r="S61" t="str">
        <f t="shared" si="16"/>
        <v>FUR</v>
      </c>
      <c r="T61" t="str">
        <f t="shared" si="17"/>
        <v>:CH</v>
      </c>
      <c r="U61" t="s">
        <v>615</v>
      </c>
      <c r="V61" t="s">
        <v>630</v>
      </c>
      <c r="W61">
        <v>1299.43</v>
      </c>
      <c r="X61">
        <v>10</v>
      </c>
      <c r="Y61">
        <v>5</v>
      </c>
      <c r="Z61">
        <v>20.85</v>
      </c>
      <c r="AA61">
        <v>801.73</v>
      </c>
      <c r="AB61" t="s">
        <v>638</v>
      </c>
      <c r="AC61">
        <v>2025</v>
      </c>
      <c r="AD61" t="str">
        <f t="shared" si="18"/>
        <v>Gift Cards</v>
      </c>
      <c r="AE61" t="s">
        <v>646</v>
      </c>
      <c r="AF61">
        <f t="shared" si="19"/>
        <v>41</v>
      </c>
      <c r="AG61" s="6">
        <f t="shared" si="20"/>
        <v>10283.76</v>
      </c>
      <c r="AH61">
        <f t="shared" si="21"/>
        <v>240</v>
      </c>
      <c r="AI61">
        <f t="shared" si="22"/>
        <v>16.946585365853654</v>
      </c>
      <c r="AJ61">
        <f t="shared" si="23"/>
        <v>19990.61</v>
      </c>
      <c r="AK61">
        <f t="shared" si="24"/>
        <v>68.73</v>
      </c>
      <c r="AL61">
        <f t="shared" si="25"/>
        <v>3</v>
      </c>
      <c r="AM61">
        <f t="shared" si="26"/>
        <v>71</v>
      </c>
      <c r="AN61">
        <f t="shared" si="27"/>
        <v>12994.300000000001</v>
      </c>
      <c r="AO61">
        <f t="shared" si="28"/>
        <v>649.71500000000003</v>
      </c>
      <c r="AP61">
        <f t="shared" si="29"/>
        <v>12344.585000000001</v>
      </c>
      <c r="AQ61">
        <f t="shared" si="30"/>
        <v>13146.315000000001</v>
      </c>
      <c r="AR61">
        <f t="shared" si="31"/>
        <v>1</v>
      </c>
    </row>
    <row r="62" spans="1:44" x14ac:dyDescent="0.3">
      <c r="A62">
        <v>61</v>
      </c>
      <c r="B62" t="s">
        <v>85</v>
      </c>
      <c r="C62" t="str">
        <f>TEXT(Table1[[#This Row],[Order Date]],"dddd")</f>
        <v>Saturday</v>
      </c>
      <c r="D62" t="str">
        <f>TEXT(Table1[[#This Row],[Order Date]],"mmm")</f>
        <v>Aug</v>
      </c>
      <c r="E62" s="5" t="s">
        <v>185</v>
      </c>
      <c r="F62" s="3" t="s">
        <v>275</v>
      </c>
      <c r="G62" t="s">
        <v>310</v>
      </c>
      <c r="H62" t="s">
        <v>373</v>
      </c>
      <c r="I62" t="str">
        <f>PROPER(TRIM(Table1[[#This Row],[Customer Name]]))</f>
        <v>Vivaan Nair</v>
      </c>
      <c r="J62" t="s">
        <v>464</v>
      </c>
      <c r="K62" t="s">
        <v>492</v>
      </c>
      <c r="L62" t="s">
        <v>494</v>
      </c>
      <c r="M62" t="s">
        <v>503</v>
      </c>
      <c r="N62" t="s">
        <v>507</v>
      </c>
      <c r="O62">
        <v>603665</v>
      </c>
      <c r="P62" t="s">
        <v>508</v>
      </c>
      <c r="Q62" t="s">
        <v>512</v>
      </c>
      <c r="R62" t="s">
        <v>574</v>
      </c>
      <c r="S62" t="str">
        <f t="shared" si="16"/>
        <v>TEC</v>
      </c>
      <c r="T62" t="str">
        <f t="shared" si="17"/>
        <v>:MSW</v>
      </c>
      <c r="U62" t="s">
        <v>616</v>
      </c>
      <c r="V62" t="s">
        <v>630</v>
      </c>
      <c r="W62">
        <v>1108.26</v>
      </c>
      <c r="X62">
        <v>7</v>
      </c>
      <c r="Y62">
        <v>0</v>
      </c>
      <c r="Z62">
        <v>39.06</v>
      </c>
      <c r="AA62">
        <v>555.52</v>
      </c>
      <c r="AB62" t="s">
        <v>635</v>
      </c>
      <c r="AC62">
        <v>2025</v>
      </c>
      <c r="AD62" t="str">
        <f t="shared" si="18"/>
        <v>Net Banking</v>
      </c>
      <c r="AE62" t="s">
        <v>639</v>
      </c>
      <c r="AF62">
        <f t="shared" si="19"/>
        <v>40</v>
      </c>
      <c r="AG62" s="6">
        <f t="shared" si="20"/>
        <v>10508.368250000001</v>
      </c>
      <c r="AH62">
        <f t="shared" si="21"/>
        <v>230</v>
      </c>
      <c r="AI62">
        <f t="shared" si="22"/>
        <v>16.848999999999997</v>
      </c>
      <c r="AJ62">
        <f t="shared" si="23"/>
        <v>19990.61</v>
      </c>
      <c r="AK62">
        <f t="shared" si="24"/>
        <v>68.73</v>
      </c>
      <c r="AL62">
        <f t="shared" si="25"/>
        <v>3</v>
      </c>
      <c r="AM62">
        <f t="shared" si="26"/>
        <v>71</v>
      </c>
      <c r="AN62">
        <f t="shared" si="27"/>
        <v>7757.82</v>
      </c>
      <c r="AO62">
        <f t="shared" si="28"/>
        <v>0</v>
      </c>
      <c r="AP62">
        <f t="shared" si="29"/>
        <v>7757.82</v>
      </c>
      <c r="AQ62">
        <f t="shared" si="30"/>
        <v>8313.34</v>
      </c>
      <c r="AR62">
        <f t="shared" si="31"/>
        <v>1</v>
      </c>
    </row>
    <row r="63" spans="1:44" x14ac:dyDescent="0.3">
      <c r="A63">
        <v>62</v>
      </c>
      <c r="B63" t="s">
        <v>86</v>
      </c>
      <c r="C63" t="str">
        <f>TEXT(Table1[[#This Row],[Order Date]],"dddd")</f>
        <v>Wednesday</v>
      </c>
      <c r="D63" t="str">
        <f>TEXT(Table1[[#This Row],[Order Date]],"mmm")</f>
        <v>Aug</v>
      </c>
      <c r="E63" s="5" t="s">
        <v>186</v>
      </c>
      <c r="F63" s="3" t="s">
        <v>276</v>
      </c>
      <c r="G63" t="s">
        <v>312</v>
      </c>
      <c r="H63" t="s">
        <v>374</v>
      </c>
      <c r="I63" t="str">
        <f>PROPER(TRIM(Table1[[#This Row],[Customer Name]]))</f>
        <v>Aarya Reddy</v>
      </c>
      <c r="J63" t="s">
        <v>463</v>
      </c>
      <c r="K63" t="s">
        <v>491</v>
      </c>
      <c r="L63" t="s">
        <v>497</v>
      </c>
      <c r="M63" t="s">
        <v>496</v>
      </c>
      <c r="N63" t="s">
        <v>507</v>
      </c>
      <c r="O63">
        <v>608125</v>
      </c>
      <c r="P63" t="s">
        <v>508</v>
      </c>
      <c r="Q63" t="s">
        <v>513</v>
      </c>
      <c r="R63" t="s">
        <v>575</v>
      </c>
      <c r="S63" t="str">
        <f t="shared" si="16"/>
        <v>TEC</v>
      </c>
      <c r="T63" t="str">
        <f t="shared" si="17"/>
        <v>:PH</v>
      </c>
      <c r="U63" t="s">
        <v>626</v>
      </c>
      <c r="V63" t="s">
        <v>628</v>
      </c>
      <c r="W63">
        <v>659.95</v>
      </c>
      <c r="X63">
        <v>5</v>
      </c>
      <c r="Y63">
        <v>15</v>
      </c>
      <c r="Z63">
        <v>21.59</v>
      </c>
      <c r="AA63">
        <v>220.39</v>
      </c>
      <c r="AB63" t="s">
        <v>637</v>
      </c>
      <c r="AC63">
        <v>2025</v>
      </c>
      <c r="AD63" t="str">
        <f t="shared" si="18"/>
        <v>UPI</v>
      </c>
      <c r="AE63" t="s">
        <v>648</v>
      </c>
      <c r="AF63">
        <f t="shared" si="19"/>
        <v>39</v>
      </c>
      <c r="AG63" s="6">
        <f t="shared" si="20"/>
        <v>10749.396666666667</v>
      </c>
      <c r="AH63">
        <f t="shared" si="21"/>
        <v>223</v>
      </c>
      <c r="AI63">
        <f t="shared" si="22"/>
        <v>16.27948717948718</v>
      </c>
      <c r="AJ63">
        <f t="shared" si="23"/>
        <v>19990.61</v>
      </c>
      <c r="AK63">
        <f t="shared" si="24"/>
        <v>68.73</v>
      </c>
      <c r="AL63">
        <f t="shared" si="25"/>
        <v>3</v>
      </c>
      <c r="AM63">
        <f t="shared" si="26"/>
        <v>71</v>
      </c>
      <c r="AN63">
        <f t="shared" si="27"/>
        <v>3299.75</v>
      </c>
      <c r="AO63">
        <f t="shared" si="28"/>
        <v>494.96249999999998</v>
      </c>
      <c r="AP63">
        <f t="shared" si="29"/>
        <v>2804.7874999999999</v>
      </c>
      <c r="AQ63">
        <f t="shared" si="30"/>
        <v>3025.1774999999998</v>
      </c>
      <c r="AR63">
        <f t="shared" si="31"/>
        <v>1</v>
      </c>
    </row>
    <row r="64" spans="1:44" x14ac:dyDescent="0.3">
      <c r="A64">
        <v>63</v>
      </c>
      <c r="B64" t="s">
        <v>87</v>
      </c>
      <c r="C64" t="str">
        <f>TEXT(Table1[[#This Row],[Order Date]],"dddd")</f>
        <v>Saturday</v>
      </c>
      <c r="D64" t="str">
        <f>TEXT(Table1[[#This Row],[Order Date]],"mmm")</f>
        <v>Aug</v>
      </c>
      <c r="E64" s="5" t="s">
        <v>187</v>
      </c>
      <c r="F64" s="3" t="s">
        <v>277</v>
      </c>
      <c r="G64" t="s">
        <v>312</v>
      </c>
      <c r="H64" t="s">
        <v>375</v>
      </c>
      <c r="I64" t="str">
        <f>PROPER(TRIM(Table1[[#This Row],[Customer Name]]))</f>
        <v>Rahul Patel</v>
      </c>
      <c r="J64" t="s">
        <v>465</v>
      </c>
      <c r="K64" t="s">
        <v>491</v>
      </c>
      <c r="L64" t="s">
        <v>496</v>
      </c>
      <c r="M64" t="s">
        <v>503</v>
      </c>
      <c r="N64" t="s">
        <v>507</v>
      </c>
      <c r="O64">
        <v>401543</v>
      </c>
      <c r="P64" t="s">
        <v>508</v>
      </c>
      <c r="Q64" t="s">
        <v>512</v>
      </c>
      <c r="R64" t="s">
        <v>576</v>
      </c>
      <c r="S64" t="str">
        <f t="shared" si="16"/>
        <v>OFF</v>
      </c>
      <c r="T64" t="str">
        <f t="shared" si="17"/>
        <v>:ART</v>
      </c>
      <c r="U64" t="s">
        <v>623</v>
      </c>
      <c r="V64" t="s">
        <v>627</v>
      </c>
      <c r="W64">
        <v>7161.08</v>
      </c>
      <c r="X64">
        <v>7</v>
      </c>
      <c r="Y64">
        <v>15</v>
      </c>
      <c r="Z64">
        <v>2.99</v>
      </c>
      <c r="AA64">
        <v>1121.71</v>
      </c>
      <c r="AB64" t="s">
        <v>636</v>
      </c>
      <c r="AC64">
        <v>2025</v>
      </c>
      <c r="AD64" t="str">
        <f t="shared" si="18"/>
        <v>Cash/Cheque</v>
      </c>
      <c r="AE64" t="s">
        <v>649</v>
      </c>
      <c r="AF64">
        <f t="shared" si="19"/>
        <v>38</v>
      </c>
      <c r="AG64" s="6">
        <f t="shared" si="20"/>
        <v>11014.908421052634</v>
      </c>
      <c r="AH64">
        <f t="shared" si="21"/>
        <v>218</v>
      </c>
      <c r="AI64">
        <f t="shared" si="22"/>
        <v>16.139736842105261</v>
      </c>
      <c r="AJ64">
        <f t="shared" si="23"/>
        <v>19990.61</v>
      </c>
      <c r="AK64">
        <f t="shared" si="24"/>
        <v>68.73</v>
      </c>
      <c r="AL64">
        <f t="shared" si="25"/>
        <v>2</v>
      </c>
      <c r="AM64">
        <f t="shared" si="26"/>
        <v>71</v>
      </c>
      <c r="AN64">
        <f t="shared" si="27"/>
        <v>50127.56</v>
      </c>
      <c r="AO64">
        <f t="shared" si="28"/>
        <v>7519.1339999999991</v>
      </c>
      <c r="AP64">
        <f t="shared" si="29"/>
        <v>42608.425999999999</v>
      </c>
      <c r="AQ64">
        <f t="shared" si="30"/>
        <v>43730.135999999999</v>
      </c>
      <c r="AR64">
        <f t="shared" si="31"/>
        <v>3</v>
      </c>
    </row>
    <row r="65" spans="1:44" x14ac:dyDescent="0.3">
      <c r="A65">
        <v>64</v>
      </c>
      <c r="B65" t="s">
        <v>88</v>
      </c>
      <c r="C65" t="str">
        <f>TEXT(Table1[[#This Row],[Order Date]],"dddd")</f>
        <v>Wednesday</v>
      </c>
      <c r="D65" t="str">
        <f>TEXT(Table1[[#This Row],[Order Date]],"mmm")</f>
        <v>Aug</v>
      </c>
      <c r="E65" s="5" t="s">
        <v>188</v>
      </c>
      <c r="F65" s="3" t="s">
        <v>278</v>
      </c>
      <c r="G65" t="s">
        <v>309</v>
      </c>
      <c r="H65" t="s">
        <v>376</v>
      </c>
      <c r="I65" t="str">
        <f>PROPER(TRIM(Table1[[#This Row],[Customer Name]]))</f>
        <v>Aditya Patel</v>
      </c>
      <c r="J65" t="s">
        <v>466</v>
      </c>
      <c r="K65" t="s">
        <v>491</v>
      </c>
      <c r="L65" t="s">
        <v>500</v>
      </c>
      <c r="M65" t="s">
        <v>506</v>
      </c>
      <c r="N65" t="s">
        <v>507</v>
      </c>
      <c r="O65">
        <v>683822</v>
      </c>
      <c r="P65" t="s">
        <v>508</v>
      </c>
      <c r="Q65" t="s">
        <v>509</v>
      </c>
      <c r="R65" t="s">
        <v>577</v>
      </c>
      <c r="S65" t="str">
        <f t="shared" si="16"/>
        <v>OFF</v>
      </c>
      <c r="T65" t="str">
        <f t="shared" si="17"/>
        <v>:BIN</v>
      </c>
      <c r="U65" t="s">
        <v>625</v>
      </c>
      <c r="V65" t="s">
        <v>629</v>
      </c>
      <c r="W65">
        <v>45487.6</v>
      </c>
      <c r="X65">
        <v>9</v>
      </c>
      <c r="Y65">
        <v>10</v>
      </c>
      <c r="Z65">
        <v>21.7</v>
      </c>
      <c r="AA65">
        <v>19990.61</v>
      </c>
      <c r="AB65" t="s">
        <v>638</v>
      </c>
      <c r="AC65">
        <v>2025</v>
      </c>
      <c r="AD65" t="str">
        <f t="shared" si="18"/>
        <v>Mobile Wallets</v>
      </c>
      <c r="AE65" t="s">
        <v>650</v>
      </c>
      <c r="AF65">
        <f t="shared" si="19"/>
        <v>37</v>
      </c>
      <c r="AG65" s="6">
        <f t="shared" si="20"/>
        <v>11119.065945945948</v>
      </c>
      <c r="AH65">
        <f t="shared" si="21"/>
        <v>211</v>
      </c>
      <c r="AI65">
        <f t="shared" si="22"/>
        <v>16.495135135135136</v>
      </c>
      <c r="AJ65">
        <f t="shared" si="23"/>
        <v>19990.61</v>
      </c>
      <c r="AK65">
        <f t="shared" si="24"/>
        <v>68.73</v>
      </c>
      <c r="AL65">
        <f t="shared" si="25"/>
        <v>2</v>
      </c>
      <c r="AM65">
        <f t="shared" si="26"/>
        <v>71</v>
      </c>
      <c r="AN65">
        <f t="shared" si="27"/>
        <v>409388.39999999997</v>
      </c>
      <c r="AO65">
        <f t="shared" si="28"/>
        <v>40938.839999999997</v>
      </c>
      <c r="AP65">
        <f t="shared" si="29"/>
        <v>368449.55999999994</v>
      </c>
      <c r="AQ65">
        <f t="shared" si="30"/>
        <v>388440.16999999993</v>
      </c>
      <c r="AR65">
        <f t="shared" si="31"/>
        <v>6</v>
      </c>
    </row>
    <row r="66" spans="1:44" x14ac:dyDescent="0.3">
      <c r="A66">
        <v>65</v>
      </c>
      <c r="B66" t="s">
        <v>89</v>
      </c>
      <c r="C66" t="str">
        <f>TEXT(Table1[[#This Row],[Order Date]],"dddd")</f>
        <v>Sunday</v>
      </c>
      <c r="D66" t="str">
        <f>TEXT(Table1[[#This Row],[Order Date]],"mmm")</f>
        <v>Aug</v>
      </c>
      <c r="E66" s="5" t="s">
        <v>189</v>
      </c>
      <c r="F66" s="3" t="s">
        <v>279</v>
      </c>
      <c r="G66" t="s">
        <v>312</v>
      </c>
      <c r="H66" t="s">
        <v>377</v>
      </c>
      <c r="I66" t="str">
        <f>PROPER(TRIM(Table1[[#This Row],[Customer Name]]))</f>
        <v>Aarya Verma</v>
      </c>
      <c r="J66" t="s">
        <v>455</v>
      </c>
      <c r="K66" t="s">
        <v>491</v>
      </c>
      <c r="L66" t="s">
        <v>497</v>
      </c>
      <c r="M66" t="s">
        <v>496</v>
      </c>
      <c r="N66" t="s">
        <v>507</v>
      </c>
      <c r="O66">
        <v>577805</v>
      </c>
      <c r="P66" t="s">
        <v>508</v>
      </c>
      <c r="Q66" t="s">
        <v>509</v>
      </c>
      <c r="R66" t="s">
        <v>578</v>
      </c>
      <c r="S66" t="str">
        <f t="shared" ref="S66:S97" si="32">LEFT(U66,3)</f>
        <v>OFF</v>
      </c>
      <c r="T66" t="str">
        <f t="shared" ref="T66:T97" si="33">RIGHT(U66,LEN(U66)-4)</f>
        <v>:BIN</v>
      </c>
      <c r="U66" t="s">
        <v>625</v>
      </c>
      <c r="V66" t="s">
        <v>632</v>
      </c>
      <c r="W66">
        <v>1545.43</v>
      </c>
      <c r="X66">
        <v>3</v>
      </c>
      <c r="Y66">
        <v>15</v>
      </c>
      <c r="Z66">
        <v>17</v>
      </c>
      <c r="AA66">
        <v>121.92</v>
      </c>
      <c r="AB66" t="s">
        <v>635</v>
      </c>
      <c r="AC66">
        <v>2025</v>
      </c>
      <c r="AD66" t="str">
        <f t="shared" ref="AD66:AD97" si="34">IF(LOWER(TRIM(AE66))="upi","UPI",IF(LOWER(TRIM(AE66))="debit card","Debit Card",IF(LOWER(TRIM(AE66))="cash","Cash/Cheque",TRIM(AE66))))</f>
        <v>Gift Cards</v>
      </c>
      <c r="AE66" t="s">
        <v>646</v>
      </c>
      <c r="AF66">
        <f t="shared" ref="AF66:AF97" si="35">COUNTA(B66:B166)</f>
        <v>36</v>
      </c>
      <c r="AG66" s="6">
        <f t="shared" ref="AG66:AG97" si="36">AVERAGE(W66:W166)</f>
        <v>10164.384444444446</v>
      </c>
      <c r="AH66">
        <f t="shared" ref="AH66:AH97" si="37">SUM(X66:X166)</f>
        <v>202</v>
      </c>
      <c r="AI66">
        <f t="shared" ref="AI66:AI97" si="38">AVERAGE(Z66:Z166)</f>
        <v>16.350555555555555</v>
      </c>
      <c r="AJ66">
        <f t="shared" ref="AJ66:AJ97" si="39">MAX(AA66:AA166)</f>
        <v>17206.18</v>
      </c>
      <c r="AK66">
        <f t="shared" ref="AK66:AK97" si="40">MIN(AA66:AA166)</f>
        <v>68.73</v>
      </c>
      <c r="AL66">
        <f t="shared" ref="AL66:AL97" si="41">COUNTIF(AD66:AD166,"UPI")</f>
        <v>2</v>
      </c>
      <c r="AM66">
        <f t="shared" ref="AM66:AM97" si="42">SUMIF(W66:W166,"&gt;10000",X66:X166)</f>
        <v>62</v>
      </c>
      <c r="AN66">
        <f t="shared" ref="AN66:AN101" si="43">W66*X66</f>
        <v>4636.29</v>
      </c>
      <c r="AO66">
        <f t="shared" ref="AO66:AO97" si="44">AN66*Y66/100</f>
        <v>695.44350000000009</v>
      </c>
      <c r="AP66">
        <f t="shared" ref="AP66:AP97" si="45">AN66-AO66</f>
        <v>3940.8464999999997</v>
      </c>
      <c r="AQ66">
        <f t="shared" ref="AQ66:AQ97" si="46">AP66+AA66</f>
        <v>4062.7664999999997</v>
      </c>
      <c r="AR66">
        <f t="shared" ref="AR66:AR101" si="47">F66-E66</f>
        <v>5</v>
      </c>
    </row>
    <row r="67" spans="1:44" x14ac:dyDescent="0.3">
      <c r="A67">
        <v>66</v>
      </c>
      <c r="B67" t="s">
        <v>90</v>
      </c>
      <c r="C67" t="str">
        <f>TEXT(Table1[[#This Row],[Order Date]],"dddd")</f>
        <v>Wednesday</v>
      </c>
      <c r="D67" t="str">
        <f>TEXT(Table1[[#This Row],[Order Date]],"mmm")</f>
        <v>Aug</v>
      </c>
      <c r="E67" s="5" t="s">
        <v>190</v>
      </c>
      <c r="F67" s="3" t="s">
        <v>279</v>
      </c>
      <c r="G67" t="s">
        <v>311</v>
      </c>
      <c r="H67" t="s">
        <v>378</v>
      </c>
      <c r="I67" t="str">
        <f>PROPER(TRIM(Table1[[#This Row],[Customer Name]]))</f>
        <v>Sai Gupta</v>
      </c>
      <c r="J67" t="s">
        <v>467</v>
      </c>
      <c r="K67" t="s">
        <v>490</v>
      </c>
      <c r="L67" t="s">
        <v>499</v>
      </c>
      <c r="M67" t="s">
        <v>503</v>
      </c>
      <c r="N67" t="s">
        <v>507</v>
      </c>
      <c r="O67">
        <v>581416</v>
      </c>
      <c r="P67" t="s">
        <v>508</v>
      </c>
      <c r="Q67" t="s">
        <v>509</v>
      </c>
      <c r="R67" t="s">
        <v>579</v>
      </c>
      <c r="S67" t="str">
        <f t="shared" si="32"/>
        <v>TEC</v>
      </c>
      <c r="T67" t="str">
        <f t="shared" si="33"/>
        <v>:MON</v>
      </c>
      <c r="U67" t="s">
        <v>614</v>
      </c>
      <c r="V67" t="s">
        <v>628</v>
      </c>
      <c r="W67">
        <v>692.87</v>
      </c>
      <c r="X67">
        <v>8</v>
      </c>
      <c r="Y67">
        <v>20</v>
      </c>
      <c r="Z67">
        <v>28.99</v>
      </c>
      <c r="AA67">
        <v>191.36</v>
      </c>
      <c r="AB67" t="s">
        <v>638</v>
      </c>
      <c r="AC67">
        <v>2025</v>
      </c>
      <c r="AD67" t="str">
        <f t="shared" si="34"/>
        <v>Credit Card</v>
      </c>
      <c r="AE67" t="s">
        <v>645</v>
      </c>
      <c r="AF67">
        <f t="shared" si="35"/>
        <v>35</v>
      </c>
      <c r="AG67" s="6">
        <f t="shared" si="36"/>
        <v>10410.640285714288</v>
      </c>
      <c r="AH67">
        <f t="shared" si="37"/>
        <v>199</v>
      </c>
      <c r="AI67">
        <f t="shared" si="38"/>
        <v>16.332000000000001</v>
      </c>
      <c r="AJ67">
        <f t="shared" si="39"/>
        <v>17206.18</v>
      </c>
      <c r="AK67">
        <f t="shared" si="40"/>
        <v>68.73</v>
      </c>
      <c r="AL67">
        <f t="shared" si="41"/>
        <v>2</v>
      </c>
      <c r="AM67">
        <f t="shared" si="42"/>
        <v>62</v>
      </c>
      <c r="AN67">
        <f t="shared" si="43"/>
        <v>5542.96</v>
      </c>
      <c r="AO67">
        <f t="shared" si="44"/>
        <v>1108.5919999999999</v>
      </c>
      <c r="AP67">
        <f t="shared" si="45"/>
        <v>4434.3680000000004</v>
      </c>
      <c r="AQ67">
        <f t="shared" si="46"/>
        <v>4625.7280000000001</v>
      </c>
      <c r="AR67">
        <f t="shared" si="47"/>
        <v>2</v>
      </c>
    </row>
    <row r="68" spans="1:44" x14ac:dyDescent="0.3">
      <c r="A68">
        <v>67</v>
      </c>
      <c r="B68" t="s">
        <v>91</v>
      </c>
      <c r="C68" t="str">
        <f>TEXT(Table1[[#This Row],[Order Date]],"dddd")</f>
        <v>Sunday</v>
      </c>
      <c r="D68" t="str">
        <f>TEXT(Table1[[#This Row],[Order Date]],"mmm")</f>
        <v>Aug</v>
      </c>
      <c r="E68" s="5" t="s">
        <v>191</v>
      </c>
      <c r="F68" s="3" t="s">
        <v>280</v>
      </c>
      <c r="G68" t="s">
        <v>312</v>
      </c>
      <c r="H68" t="s">
        <v>379</v>
      </c>
      <c r="I68" t="str">
        <f>PROPER(TRIM(Table1[[#This Row],[Customer Name]]))</f>
        <v>Rahul Iyer</v>
      </c>
      <c r="J68" t="s">
        <v>468</v>
      </c>
      <c r="K68" t="s">
        <v>491</v>
      </c>
      <c r="L68" t="s">
        <v>494</v>
      </c>
      <c r="M68" t="s">
        <v>496</v>
      </c>
      <c r="N68" t="s">
        <v>507</v>
      </c>
      <c r="O68">
        <v>439082</v>
      </c>
      <c r="P68" t="s">
        <v>508</v>
      </c>
      <c r="Q68" t="s">
        <v>510</v>
      </c>
      <c r="R68" t="s">
        <v>580</v>
      </c>
      <c r="S68" t="str">
        <f t="shared" si="32"/>
        <v>OFF</v>
      </c>
      <c r="T68" t="str">
        <f t="shared" si="33"/>
        <v>:ART</v>
      </c>
      <c r="U68" t="s">
        <v>623</v>
      </c>
      <c r="V68" t="s">
        <v>633</v>
      </c>
      <c r="W68">
        <v>17413.759999999998</v>
      </c>
      <c r="X68">
        <v>2</v>
      </c>
      <c r="Y68">
        <v>25</v>
      </c>
      <c r="Z68">
        <v>-4.6500000000000004</v>
      </c>
      <c r="AA68">
        <v>2758.33</v>
      </c>
      <c r="AB68" t="s">
        <v>637</v>
      </c>
      <c r="AC68">
        <v>2025</v>
      </c>
      <c r="AD68" t="str">
        <f t="shared" si="34"/>
        <v>Mobile Wallets</v>
      </c>
      <c r="AE68" t="s">
        <v>650</v>
      </c>
      <c r="AF68">
        <f t="shared" si="35"/>
        <v>34</v>
      </c>
      <c r="AG68" s="6">
        <f t="shared" si="36"/>
        <v>10696.457058823531</v>
      </c>
      <c r="AH68">
        <f t="shared" si="37"/>
        <v>191</v>
      </c>
      <c r="AI68">
        <f t="shared" si="38"/>
        <v>15.959705882352941</v>
      </c>
      <c r="AJ68">
        <f t="shared" si="39"/>
        <v>17206.18</v>
      </c>
      <c r="AK68">
        <f t="shared" si="40"/>
        <v>68.73</v>
      </c>
      <c r="AL68">
        <f t="shared" si="41"/>
        <v>2</v>
      </c>
      <c r="AM68">
        <f t="shared" si="42"/>
        <v>62</v>
      </c>
      <c r="AN68">
        <f t="shared" si="43"/>
        <v>34827.519999999997</v>
      </c>
      <c r="AO68">
        <f t="shared" si="44"/>
        <v>8706.8799999999992</v>
      </c>
      <c r="AP68">
        <f t="shared" si="45"/>
        <v>26120.639999999999</v>
      </c>
      <c r="AQ68">
        <f t="shared" si="46"/>
        <v>28878.97</v>
      </c>
      <c r="AR68">
        <f t="shared" si="47"/>
        <v>2</v>
      </c>
    </row>
    <row r="69" spans="1:44" x14ac:dyDescent="0.3">
      <c r="A69">
        <v>68</v>
      </c>
      <c r="B69" t="s">
        <v>92</v>
      </c>
      <c r="C69" t="str">
        <f>TEXT(Table1[[#This Row],[Order Date]],"dddd")</f>
        <v>Thursday</v>
      </c>
      <c r="D69" t="str">
        <f>TEXT(Table1[[#This Row],[Order Date]],"mmm")</f>
        <v>Sep</v>
      </c>
      <c r="E69" s="5" t="s">
        <v>192</v>
      </c>
      <c r="F69" s="3" t="s">
        <v>281</v>
      </c>
      <c r="G69" t="s">
        <v>309</v>
      </c>
      <c r="H69" t="s">
        <v>380</v>
      </c>
      <c r="I69" t="str">
        <f>PROPER(TRIM(Table1[[#This Row],[Customer Name]]))</f>
        <v>Arjun Nair</v>
      </c>
      <c r="J69" t="s">
        <v>416</v>
      </c>
      <c r="K69" t="s">
        <v>492</v>
      </c>
      <c r="L69" t="s">
        <v>494</v>
      </c>
      <c r="M69" t="s">
        <v>503</v>
      </c>
      <c r="N69" t="s">
        <v>507</v>
      </c>
      <c r="O69">
        <v>593929</v>
      </c>
      <c r="P69" t="s">
        <v>508</v>
      </c>
      <c r="Q69" t="s">
        <v>513</v>
      </c>
      <c r="R69" t="s">
        <v>581</v>
      </c>
      <c r="S69" t="str">
        <f t="shared" si="32"/>
        <v>FUR</v>
      </c>
      <c r="T69" t="str">
        <f t="shared" si="33"/>
        <v>:TBL</v>
      </c>
      <c r="U69" t="s">
        <v>617</v>
      </c>
      <c r="V69" t="s">
        <v>627</v>
      </c>
      <c r="W69">
        <v>6766.49</v>
      </c>
      <c r="X69">
        <v>11</v>
      </c>
      <c r="Y69">
        <v>20</v>
      </c>
      <c r="Z69">
        <v>28.05</v>
      </c>
      <c r="AA69">
        <v>2125</v>
      </c>
      <c r="AB69" t="s">
        <v>638</v>
      </c>
      <c r="AC69">
        <v>2025</v>
      </c>
      <c r="AD69" t="str">
        <f t="shared" si="34"/>
        <v>BNPL</v>
      </c>
      <c r="AE69" t="s">
        <v>640</v>
      </c>
      <c r="AF69">
        <f t="shared" si="35"/>
        <v>33</v>
      </c>
      <c r="AG69" s="6">
        <f t="shared" si="36"/>
        <v>10492.902424242426</v>
      </c>
      <c r="AH69">
        <f t="shared" si="37"/>
        <v>189</v>
      </c>
      <c r="AI69">
        <f t="shared" si="38"/>
        <v>16.584242424242422</v>
      </c>
      <c r="AJ69">
        <f t="shared" si="39"/>
        <v>17206.18</v>
      </c>
      <c r="AK69">
        <f t="shared" si="40"/>
        <v>68.73</v>
      </c>
      <c r="AL69">
        <f t="shared" si="41"/>
        <v>2</v>
      </c>
      <c r="AM69">
        <f t="shared" si="42"/>
        <v>60</v>
      </c>
      <c r="AN69">
        <f t="shared" si="43"/>
        <v>74431.39</v>
      </c>
      <c r="AO69">
        <f t="shared" si="44"/>
        <v>14886.278</v>
      </c>
      <c r="AP69">
        <f t="shared" si="45"/>
        <v>59545.112000000001</v>
      </c>
      <c r="AQ69">
        <f t="shared" si="46"/>
        <v>61670.112000000001</v>
      </c>
      <c r="AR69">
        <f t="shared" si="47"/>
        <v>3</v>
      </c>
    </row>
    <row r="70" spans="1:44" x14ac:dyDescent="0.3">
      <c r="A70">
        <v>69</v>
      </c>
      <c r="B70" t="s">
        <v>93</v>
      </c>
      <c r="C70" t="str">
        <f>TEXT(Table1[[#This Row],[Order Date]],"dddd")</f>
        <v>Monday</v>
      </c>
      <c r="D70" t="str">
        <f>TEXT(Table1[[#This Row],[Order Date]],"mmm")</f>
        <v>Sep</v>
      </c>
      <c r="E70" s="5" t="s">
        <v>193</v>
      </c>
      <c r="F70" s="3" t="s">
        <v>282</v>
      </c>
      <c r="G70" t="s">
        <v>312</v>
      </c>
      <c r="H70" t="s">
        <v>381</v>
      </c>
      <c r="I70" t="str">
        <f>PROPER(TRIM(Table1[[#This Row],[Customer Name]]))</f>
        <v>Reyansh Iyer</v>
      </c>
      <c r="J70" t="s">
        <v>469</v>
      </c>
      <c r="K70" t="s">
        <v>490</v>
      </c>
      <c r="L70" t="s">
        <v>499</v>
      </c>
      <c r="M70" t="s">
        <v>501</v>
      </c>
      <c r="N70" t="s">
        <v>507</v>
      </c>
      <c r="O70">
        <v>755250</v>
      </c>
      <c r="P70" t="s">
        <v>508</v>
      </c>
      <c r="Q70" t="s">
        <v>510</v>
      </c>
      <c r="R70" t="s">
        <v>582</v>
      </c>
      <c r="S70" t="str">
        <f t="shared" si="32"/>
        <v>OFF</v>
      </c>
      <c r="T70" t="str">
        <f t="shared" si="33"/>
        <v>:ART</v>
      </c>
      <c r="U70" t="s">
        <v>623</v>
      </c>
      <c r="V70" t="s">
        <v>627</v>
      </c>
      <c r="W70">
        <v>6955.33</v>
      </c>
      <c r="X70">
        <v>7</v>
      </c>
      <c r="Y70">
        <v>10</v>
      </c>
      <c r="Z70">
        <v>17.059999999999999</v>
      </c>
      <c r="AA70">
        <v>2431.12</v>
      </c>
      <c r="AB70" t="s">
        <v>638</v>
      </c>
      <c r="AC70">
        <v>2025</v>
      </c>
      <c r="AD70" t="str">
        <f t="shared" si="34"/>
        <v>Net Banking</v>
      </c>
      <c r="AE70" t="s">
        <v>639</v>
      </c>
      <c r="AF70">
        <f t="shared" si="35"/>
        <v>32</v>
      </c>
      <c r="AG70" s="6">
        <f t="shared" si="36"/>
        <v>10609.352812500001</v>
      </c>
      <c r="AH70">
        <f t="shared" si="37"/>
        <v>178</v>
      </c>
      <c r="AI70">
        <f t="shared" si="38"/>
        <v>16.225937500000001</v>
      </c>
      <c r="AJ70">
        <f t="shared" si="39"/>
        <v>17206.18</v>
      </c>
      <c r="AK70">
        <f t="shared" si="40"/>
        <v>68.73</v>
      </c>
      <c r="AL70">
        <f t="shared" si="41"/>
        <v>2</v>
      </c>
      <c r="AM70">
        <f t="shared" si="42"/>
        <v>60</v>
      </c>
      <c r="AN70">
        <f t="shared" si="43"/>
        <v>48687.31</v>
      </c>
      <c r="AO70">
        <f t="shared" si="44"/>
        <v>4868.7309999999998</v>
      </c>
      <c r="AP70">
        <f t="shared" si="45"/>
        <v>43818.578999999998</v>
      </c>
      <c r="AQ70">
        <f t="shared" si="46"/>
        <v>46249.699000000001</v>
      </c>
      <c r="AR70">
        <f t="shared" si="47"/>
        <v>2</v>
      </c>
    </row>
    <row r="71" spans="1:44" x14ac:dyDescent="0.3">
      <c r="A71">
        <v>70</v>
      </c>
      <c r="B71" t="s">
        <v>94</v>
      </c>
      <c r="C71" t="str">
        <f>TEXT(Table1[[#This Row],[Order Date]],"dddd")</f>
        <v>Thursday</v>
      </c>
      <c r="D71" t="str">
        <f>TEXT(Table1[[#This Row],[Order Date]],"mmm")</f>
        <v>Sep</v>
      </c>
      <c r="E71" s="5" t="s">
        <v>194</v>
      </c>
      <c r="F71" s="3" t="s">
        <v>283</v>
      </c>
      <c r="G71" t="s">
        <v>311</v>
      </c>
      <c r="H71" t="s">
        <v>382</v>
      </c>
      <c r="I71" t="str">
        <f>PROPER(TRIM(Table1[[#This Row],[Customer Name]]))</f>
        <v>Rohan Patel</v>
      </c>
      <c r="J71" t="s">
        <v>470</v>
      </c>
      <c r="K71" t="s">
        <v>492</v>
      </c>
      <c r="L71" t="s">
        <v>495</v>
      </c>
      <c r="M71" t="s">
        <v>496</v>
      </c>
      <c r="N71" t="s">
        <v>507</v>
      </c>
      <c r="O71">
        <v>619931</v>
      </c>
      <c r="P71" t="s">
        <v>508</v>
      </c>
      <c r="Q71" t="s">
        <v>512</v>
      </c>
      <c r="R71" t="s">
        <v>583</v>
      </c>
      <c r="S71" t="str">
        <f t="shared" si="32"/>
        <v>TEC</v>
      </c>
      <c r="T71" t="str">
        <f t="shared" si="33"/>
        <v>:MSW</v>
      </c>
      <c r="U71" t="s">
        <v>616</v>
      </c>
      <c r="V71" t="s">
        <v>632</v>
      </c>
      <c r="W71">
        <v>1620.01</v>
      </c>
      <c r="X71">
        <v>2</v>
      </c>
      <c r="Y71">
        <v>20</v>
      </c>
      <c r="Z71">
        <v>38.15</v>
      </c>
      <c r="AA71">
        <v>184.97</v>
      </c>
      <c r="AB71" t="s">
        <v>635</v>
      </c>
      <c r="AC71">
        <v>2025</v>
      </c>
      <c r="AD71" t="str">
        <f t="shared" si="34"/>
        <v>Mobile Wallets</v>
      </c>
      <c r="AE71" t="s">
        <v>650</v>
      </c>
      <c r="AF71">
        <f t="shared" si="35"/>
        <v>31</v>
      </c>
      <c r="AG71" s="6">
        <f t="shared" si="36"/>
        <v>10727.224516129036</v>
      </c>
      <c r="AH71">
        <f t="shared" si="37"/>
        <v>171</v>
      </c>
      <c r="AI71">
        <f t="shared" si="38"/>
        <v>16.19903225806452</v>
      </c>
      <c r="AJ71">
        <f t="shared" si="39"/>
        <v>17206.18</v>
      </c>
      <c r="AK71">
        <f t="shared" si="40"/>
        <v>68.73</v>
      </c>
      <c r="AL71">
        <f t="shared" si="41"/>
        <v>2</v>
      </c>
      <c r="AM71">
        <f t="shared" si="42"/>
        <v>60</v>
      </c>
      <c r="AN71">
        <f t="shared" si="43"/>
        <v>3240.02</v>
      </c>
      <c r="AO71">
        <f t="shared" si="44"/>
        <v>648.00400000000002</v>
      </c>
      <c r="AP71">
        <f t="shared" si="45"/>
        <v>2592.0160000000001</v>
      </c>
      <c r="AQ71">
        <f t="shared" si="46"/>
        <v>2776.9859999999999</v>
      </c>
      <c r="AR71">
        <f t="shared" si="47"/>
        <v>1</v>
      </c>
    </row>
    <row r="72" spans="1:44" x14ac:dyDescent="0.3">
      <c r="A72">
        <v>71</v>
      </c>
      <c r="B72" t="s">
        <v>95</v>
      </c>
      <c r="C72" t="str">
        <f>TEXT(Table1[[#This Row],[Order Date]],"dddd")</f>
        <v>Monday</v>
      </c>
      <c r="D72" t="str">
        <f>TEXT(Table1[[#This Row],[Order Date]],"mmm")</f>
        <v>Sep</v>
      </c>
      <c r="E72" s="5" t="s">
        <v>195</v>
      </c>
      <c r="F72" s="3" t="s">
        <v>284</v>
      </c>
      <c r="G72" t="s">
        <v>311</v>
      </c>
      <c r="H72" t="s">
        <v>383</v>
      </c>
      <c r="I72" t="str">
        <f>PROPER(TRIM(Table1[[#This Row],[Customer Name]]))</f>
        <v>Saanvi Iyer</v>
      </c>
      <c r="J72" t="s">
        <v>471</v>
      </c>
      <c r="K72" t="s">
        <v>490</v>
      </c>
      <c r="L72" t="s">
        <v>500</v>
      </c>
      <c r="M72" t="s">
        <v>503</v>
      </c>
      <c r="N72" t="s">
        <v>507</v>
      </c>
      <c r="O72">
        <v>681210</v>
      </c>
      <c r="P72" t="s">
        <v>508</v>
      </c>
      <c r="Q72" t="s">
        <v>510</v>
      </c>
      <c r="R72" t="s">
        <v>584</v>
      </c>
      <c r="S72" t="str">
        <f t="shared" si="32"/>
        <v>TEC</v>
      </c>
      <c r="T72" t="str">
        <f t="shared" si="33"/>
        <v>:PH</v>
      </c>
      <c r="U72" t="s">
        <v>626</v>
      </c>
      <c r="V72" t="s">
        <v>631</v>
      </c>
      <c r="W72">
        <v>3439.29</v>
      </c>
      <c r="X72">
        <v>4</v>
      </c>
      <c r="Y72">
        <v>25</v>
      </c>
      <c r="Z72">
        <v>7.09</v>
      </c>
      <c r="AA72">
        <v>854.98</v>
      </c>
      <c r="AB72" t="s">
        <v>637</v>
      </c>
      <c r="AC72">
        <v>2025</v>
      </c>
      <c r="AD72" t="str">
        <f t="shared" si="34"/>
        <v>Net Banking</v>
      </c>
      <c r="AE72" t="s">
        <v>639</v>
      </c>
      <c r="AF72">
        <f t="shared" si="35"/>
        <v>30</v>
      </c>
      <c r="AG72" s="6">
        <f t="shared" si="36"/>
        <v>11030.798333333336</v>
      </c>
      <c r="AH72">
        <f t="shared" si="37"/>
        <v>169</v>
      </c>
      <c r="AI72">
        <f t="shared" si="38"/>
        <v>15.467333333333338</v>
      </c>
      <c r="AJ72">
        <f t="shared" si="39"/>
        <v>17206.18</v>
      </c>
      <c r="AK72">
        <f t="shared" si="40"/>
        <v>68.73</v>
      </c>
      <c r="AL72">
        <f t="shared" si="41"/>
        <v>2</v>
      </c>
      <c r="AM72">
        <f t="shared" si="42"/>
        <v>60</v>
      </c>
      <c r="AN72">
        <f t="shared" si="43"/>
        <v>13757.16</v>
      </c>
      <c r="AO72">
        <f t="shared" si="44"/>
        <v>3439.29</v>
      </c>
      <c r="AP72">
        <f t="shared" si="45"/>
        <v>10317.869999999999</v>
      </c>
      <c r="AQ72">
        <f t="shared" si="46"/>
        <v>11172.849999999999</v>
      </c>
      <c r="AR72">
        <f t="shared" si="47"/>
        <v>5</v>
      </c>
    </row>
    <row r="73" spans="1:44" x14ac:dyDescent="0.3">
      <c r="A73">
        <v>72</v>
      </c>
      <c r="B73" t="s">
        <v>96</v>
      </c>
      <c r="C73" t="str">
        <f>TEXT(Table1[[#This Row],[Order Date]],"dddd")</f>
        <v>Friday</v>
      </c>
      <c r="D73" t="str">
        <f>TEXT(Table1[[#This Row],[Order Date]],"mmm")</f>
        <v>Sep</v>
      </c>
      <c r="E73" s="5" t="s">
        <v>196</v>
      </c>
      <c r="F73" s="3" t="s">
        <v>285</v>
      </c>
      <c r="G73" t="s">
        <v>311</v>
      </c>
      <c r="H73" t="s">
        <v>384</v>
      </c>
      <c r="I73" t="str">
        <f>PROPER(TRIM(Table1[[#This Row],[Customer Name]]))</f>
        <v>Rohan Malhotra</v>
      </c>
      <c r="J73" t="s">
        <v>441</v>
      </c>
      <c r="K73" t="s">
        <v>491</v>
      </c>
      <c r="L73" t="s">
        <v>499</v>
      </c>
      <c r="M73" t="s">
        <v>503</v>
      </c>
      <c r="N73" t="s">
        <v>507</v>
      </c>
      <c r="O73">
        <v>614533</v>
      </c>
      <c r="P73" t="s">
        <v>508</v>
      </c>
      <c r="Q73" t="s">
        <v>512</v>
      </c>
      <c r="R73" t="s">
        <v>585</v>
      </c>
      <c r="S73" t="str">
        <f t="shared" si="32"/>
        <v>TEC</v>
      </c>
      <c r="T73" t="str">
        <f t="shared" si="33"/>
        <v>:PH</v>
      </c>
      <c r="U73" t="s">
        <v>626</v>
      </c>
      <c r="V73" t="s">
        <v>629</v>
      </c>
      <c r="W73">
        <v>45876.72</v>
      </c>
      <c r="X73">
        <v>7</v>
      </c>
      <c r="Y73">
        <v>5</v>
      </c>
      <c r="Z73">
        <v>21.63</v>
      </c>
      <c r="AA73">
        <v>17206.18</v>
      </c>
      <c r="AB73" t="s">
        <v>636</v>
      </c>
      <c r="AC73">
        <v>2025</v>
      </c>
      <c r="AD73" t="str">
        <f t="shared" si="34"/>
        <v>Net Banking</v>
      </c>
      <c r="AE73" t="s">
        <v>639</v>
      </c>
      <c r="AF73">
        <f t="shared" si="35"/>
        <v>29</v>
      </c>
      <c r="AG73" s="6">
        <f t="shared" si="36"/>
        <v>11292.574482758624</v>
      </c>
      <c r="AH73">
        <f t="shared" si="37"/>
        <v>165</v>
      </c>
      <c r="AI73">
        <f t="shared" si="38"/>
        <v>15.756206896551728</v>
      </c>
      <c r="AJ73">
        <f t="shared" si="39"/>
        <v>17206.18</v>
      </c>
      <c r="AK73">
        <f t="shared" si="40"/>
        <v>68.73</v>
      </c>
      <c r="AL73">
        <f t="shared" si="41"/>
        <v>2</v>
      </c>
      <c r="AM73">
        <f t="shared" si="42"/>
        <v>60</v>
      </c>
      <c r="AN73">
        <f t="shared" si="43"/>
        <v>321137.04000000004</v>
      </c>
      <c r="AO73">
        <f t="shared" si="44"/>
        <v>16056.852000000003</v>
      </c>
      <c r="AP73">
        <f t="shared" si="45"/>
        <v>305080.18800000002</v>
      </c>
      <c r="AQ73">
        <f t="shared" si="46"/>
        <v>322286.36800000002</v>
      </c>
      <c r="AR73">
        <f t="shared" si="47"/>
        <v>4</v>
      </c>
    </row>
    <row r="74" spans="1:44" x14ac:dyDescent="0.3">
      <c r="A74">
        <v>73</v>
      </c>
      <c r="B74" t="s">
        <v>97</v>
      </c>
      <c r="C74" t="str">
        <f>TEXT(Table1[[#This Row],[Order Date]],"dddd")</f>
        <v>Monday</v>
      </c>
      <c r="D74" t="str">
        <f>TEXT(Table1[[#This Row],[Order Date]],"mmm")</f>
        <v>Sep</v>
      </c>
      <c r="E74" s="5" t="s">
        <v>197</v>
      </c>
      <c r="F74" s="3" t="s">
        <v>286</v>
      </c>
      <c r="G74" t="s">
        <v>309</v>
      </c>
      <c r="H74" t="s">
        <v>385</v>
      </c>
      <c r="I74" t="str">
        <f>PROPER(TRIM(Table1[[#This Row],[Customer Name]]))</f>
        <v>Vihaan Nair</v>
      </c>
      <c r="J74" t="s">
        <v>439</v>
      </c>
      <c r="K74" t="s">
        <v>490</v>
      </c>
      <c r="L74" t="s">
        <v>493</v>
      </c>
      <c r="M74" t="s">
        <v>503</v>
      </c>
      <c r="N74" t="s">
        <v>507</v>
      </c>
      <c r="O74">
        <v>488093</v>
      </c>
      <c r="P74" t="s">
        <v>508</v>
      </c>
      <c r="Q74" t="s">
        <v>512</v>
      </c>
      <c r="R74" t="s">
        <v>586</v>
      </c>
      <c r="S74" t="str">
        <f t="shared" si="32"/>
        <v>TEC</v>
      </c>
      <c r="T74" t="str">
        <f t="shared" si="33"/>
        <v>:MSW</v>
      </c>
      <c r="U74" t="s">
        <v>616</v>
      </c>
      <c r="V74" t="s">
        <v>627</v>
      </c>
      <c r="W74">
        <v>7650.78</v>
      </c>
      <c r="X74">
        <v>3</v>
      </c>
      <c r="Y74">
        <v>10</v>
      </c>
      <c r="Z74">
        <v>36.6</v>
      </c>
      <c r="AA74">
        <v>472.5</v>
      </c>
      <c r="AB74" t="s">
        <v>636</v>
      </c>
      <c r="AC74">
        <v>2025</v>
      </c>
      <c r="AD74" t="str">
        <f t="shared" si="34"/>
        <v>Net Banking</v>
      </c>
      <c r="AE74" t="s">
        <v>639</v>
      </c>
      <c r="AF74">
        <f t="shared" si="35"/>
        <v>28</v>
      </c>
      <c r="AG74" s="6">
        <f t="shared" si="36"/>
        <v>10057.426428571429</v>
      </c>
      <c r="AH74">
        <f t="shared" si="37"/>
        <v>158</v>
      </c>
      <c r="AI74">
        <f t="shared" si="38"/>
        <v>15.546428571428576</v>
      </c>
      <c r="AJ74">
        <f t="shared" si="39"/>
        <v>11323.3</v>
      </c>
      <c r="AK74">
        <f t="shared" si="40"/>
        <v>68.73</v>
      </c>
      <c r="AL74">
        <f t="shared" si="41"/>
        <v>2</v>
      </c>
      <c r="AM74">
        <f t="shared" si="42"/>
        <v>53</v>
      </c>
      <c r="AN74">
        <f t="shared" si="43"/>
        <v>22952.34</v>
      </c>
      <c r="AO74">
        <f t="shared" si="44"/>
        <v>2295.2339999999999</v>
      </c>
      <c r="AP74">
        <f t="shared" si="45"/>
        <v>20657.106</v>
      </c>
      <c r="AQ74">
        <f t="shared" si="46"/>
        <v>21129.606</v>
      </c>
      <c r="AR74">
        <f t="shared" si="47"/>
        <v>2</v>
      </c>
    </row>
    <row r="75" spans="1:44" x14ac:dyDescent="0.3">
      <c r="A75">
        <v>74</v>
      </c>
      <c r="B75" t="s">
        <v>98</v>
      </c>
      <c r="C75" t="str">
        <f>TEXT(Table1[[#This Row],[Order Date]],"dddd")</f>
        <v>Friday</v>
      </c>
      <c r="D75" t="str">
        <f>TEXT(Table1[[#This Row],[Order Date]],"mmm")</f>
        <v>Sep</v>
      </c>
      <c r="E75" s="5" t="s">
        <v>198</v>
      </c>
      <c r="F75" s="3" t="s">
        <v>287</v>
      </c>
      <c r="G75" t="s">
        <v>309</v>
      </c>
      <c r="H75" t="s">
        <v>386</v>
      </c>
      <c r="I75" t="str">
        <f>PROPER(TRIM(Table1[[#This Row],[Customer Name]]))</f>
        <v>Aditya Iyer</v>
      </c>
      <c r="J75" t="s">
        <v>472</v>
      </c>
      <c r="K75" t="s">
        <v>490</v>
      </c>
      <c r="L75" t="s">
        <v>493</v>
      </c>
      <c r="M75" t="s">
        <v>503</v>
      </c>
      <c r="N75" t="s">
        <v>507</v>
      </c>
      <c r="O75">
        <v>716838</v>
      </c>
      <c r="P75" t="s">
        <v>508</v>
      </c>
      <c r="Q75" t="s">
        <v>511</v>
      </c>
      <c r="R75" t="s">
        <v>587</v>
      </c>
      <c r="S75" t="str">
        <f t="shared" si="32"/>
        <v>OFF</v>
      </c>
      <c r="T75" t="str">
        <f t="shared" si="33"/>
        <v>:ART</v>
      </c>
      <c r="U75" t="s">
        <v>623</v>
      </c>
      <c r="V75" t="s">
        <v>632</v>
      </c>
      <c r="W75">
        <v>1549.51</v>
      </c>
      <c r="X75">
        <v>2</v>
      </c>
      <c r="Y75">
        <v>5</v>
      </c>
      <c r="Z75">
        <v>-4.87</v>
      </c>
      <c r="AA75">
        <v>122.68</v>
      </c>
      <c r="AB75" t="s">
        <v>635</v>
      </c>
      <c r="AC75">
        <v>2025</v>
      </c>
      <c r="AD75" t="str">
        <f t="shared" si="34"/>
        <v>Cash/Cheque</v>
      </c>
      <c r="AE75" t="s">
        <v>649</v>
      </c>
      <c r="AF75">
        <f t="shared" si="35"/>
        <v>27</v>
      </c>
      <c r="AG75" s="6">
        <f t="shared" si="36"/>
        <v>10146.561481481483</v>
      </c>
      <c r="AH75">
        <f t="shared" si="37"/>
        <v>155</v>
      </c>
      <c r="AI75">
        <f t="shared" si="38"/>
        <v>14.766666666666671</v>
      </c>
      <c r="AJ75">
        <f t="shared" si="39"/>
        <v>11323.3</v>
      </c>
      <c r="AK75">
        <f t="shared" si="40"/>
        <v>68.73</v>
      </c>
      <c r="AL75">
        <f t="shared" si="41"/>
        <v>2</v>
      </c>
      <c r="AM75">
        <f t="shared" si="42"/>
        <v>53</v>
      </c>
      <c r="AN75">
        <f t="shared" si="43"/>
        <v>3099.02</v>
      </c>
      <c r="AO75">
        <f t="shared" si="44"/>
        <v>154.95099999999999</v>
      </c>
      <c r="AP75">
        <f t="shared" si="45"/>
        <v>2944.069</v>
      </c>
      <c r="AQ75">
        <f t="shared" si="46"/>
        <v>3066.7489999999998</v>
      </c>
      <c r="AR75">
        <f t="shared" si="47"/>
        <v>1</v>
      </c>
    </row>
    <row r="76" spans="1:44" x14ac:dyDescent="0.3">
      <c r="A76">
        <v>75</v>
      </c>
      <c r="B76" t="s">
        <v>99</v>
      </c>
      <c r="C76" t="str">
        <f>TEXT(Table1[[#This Row],[Order Date]],"dddd")</f>
        <v>Tuesday</v>
      </c>
      <c r="D76" t="str">
        <f>TEXT(Table1[[#This Row],[Order Date]],"mmm")</f>
        <v>Sep</v>
      </c>
      <c r="E76" s="5" t="s">
        <v>199</v>
      </c>
      <c r="F76" s="3" t="s">
        <v>288</v>
      </c>
      <c r="G76" t="s">
        <v>310</v>
      </c>
      <c r="H76" t="s">
        <v>387</v>
      </c>
      <c r="I76" t="str">
        <f>PROPER(TRIM(Table1[[#This Row],[Customer Name]]))</f>
        <v>Ananya Verma</v>
      </c>
      <c r="J76" t="s">
        <v>473</v>
      </c>
      <c r="K76" t="s">
        <v>492</v>
      </c>
      <c r="L76" t="s">
        <v>496</v>
      </c>
      <c r="M76" t="s">
        <v>496</v>
      </c>
      <c r="N76" t="s">
        <v>507</v>
      </c>
      <c r="O76">
        <v>689107</v>
      </c>
      <c r="P76" t="s">
        <v>508</v>
      </c>
      <c r="Q76" t="s">
        <v>509</v>
      </c>
      <c r="R76" t="s">
        <v>588</v>
      </c>
      <c r="S76" t="str">
        <f t="shared" si="32"/>
        <v>TEC</v>
      </c>
      <c r="T76" t="str">
        <f t="shared" si="33"/>
        <v>:MSW</v>
      </c>
      <c r="U76" t="s">
        <v>616</v>
      </c>
      <c r="V76" t="s">
        <v>632</v>
      </c>
      <c r="W76">
        <v>1402.61</v>
      </c>
      <c r="X76">
        <v>11</v>
      </c>
      <c r="Y76">
        <v>0</v>
      </c>
      <c r="Z76">
        <v>36.86</v>
      </c>
      <c r="AA76">
        <v>787.83</v>
      </c>
      <c r="AB76" t="s">
        <v>638</v>
      </c>
      <c r="AC76">
        <v>2025</v>
      </c>
      <c r="AD76" t="str">
        <f t="shared" si="34"/>
        <v>Net Banking</v>
      </c>
      <c r="AE76" t="s">
        <v>639</v>
      </c>
      <c r="AF76">
        <f t="shared" si="35"/>
        <v>26</v>
      </c>
      <c r="AG76" s="6">
        <f t="shared" si="36"/>
        <v>10477.217307692308</v>
      </c>
      <c r="AH76">
        <f t="shared" si="37"/>
        <v>153</v>
      </c>
      <c r="AI76">
        <f t="shared" si="38"/>
        <v>15.521923076923084</v>
      </c>
      <c r="AJ76">
        <f t="shared" si="39"/>
        <v>11323.3</v>
      </c>
      <c r="AK76">
        <f t="shared" si="40"/>
        <v>68.73</v>
      </c>
      <c r="AL76">
        <f t="shared" si="41"/>
        <v>2</v>
      </c>
      <c r="AM76">
        <f t="shared" si="42"/>
        <v>53</v>
      </c>
      <c r="AN76">
        <f t="shared" si="43"/>
        <v>15428.71</v>
      </c>
      <c r="AO76">
        <f t="shared" si="44"/>
        <v>0</v>
      </c>
      <c r="AP76">
        <f t="shared" si="45"/>
        <v>15428.71</v>
      </c>
      <c r="AQ76">
        <f t="shared" si="46"/>
        <v>16216.539999999999</v>
      </c>
      <c r="AR76">
        <f t="shared" si="47"/>
        <v>4</v>
      </c>
    </row>
    <row r="77" spans="1:44" x14ac:dyDescent="0.3">
      <c r="A77">
        <v>76</v>
      </c>
      <c r="B77" t="s">
        <v>100</v>
      </c>
      <c r="C77" t="str">
        <f>TEXT(Table1[[#This Row],[Order Date]],"dddd")</f>
        <v>Friday</v>
      </c>
      <c r="D77" t="str">
        <f>TEXT(Table1[[#This Row],[Order Date]],"mmm")</f>
        <v>Oct</v>
      </c>
      <c r="E77" s="5" t="s">
        <v>200</v>
      </c>
      <c r="F77" s="3" t="s">
        <v>289</v>
      </c>
      <c r="G77" t="s">
        <v>309</v>
      </c>
      <c r="H77" t="s">
        <v>388</v>
      </c>
      <c r="I77" t="str">
        <f>PROPER(TRIM(Table1[[#This Row],[Customer Name]]))</f>
        <v>Priya Malhotra</v>
      </c>
      <c r="J77" t="s">
        <v>474</v>
      </c>
      <c r="K77" t="s">
        <v>492</v>
      </c>
      <c r="L77" t="s">
        <v>494</v>
      </c>
      <c r="M77" t="s">
        <v>505</v>
      </c>
      <c r="N77" t="s">
        <v>507</v>
      </c>
      <c r="O77">
        <v>428296</v>
      </c>
      <c r="P77" t="s">
        <v>508</v>
      </c>
      <c r="Q77" t="s">
        <v>512</v>
      </c>
      <c r="R77" t="s">
        <v>589</v>
      </c>
      <c r="S77" t="str">
        <f t="shared" si="32"/>
        <v>FUR</v>
      </c>
      <c r="T77" t="str">
        <f t="shared" si="33"/>
        <v>:CH</v>
      </c>
      <c r="U77" t="s">
        <v>615</v>
      </c>
      <c r="V77" t="s">
        <v>628</v>
      </c>
      <c r="W77">
        <v>703.87</v>
      </c>
      <c r="X77">
        <v>10</v>
      </c>
      <c r="Y77">
        <v>5</v>
      </c>
      <c r="Z77">
        <v>24.39</v>
      </c>
      <c r="AA77">
        <v>177.88</v>
      </c>
      <c r="AB77" t="s">
        <v>635</v>
      </c>
      <c r="AC77">
        <v>2025</v>
      </c>
      <c r="AD77" t="str">
        <f t="shared" si="34"/>
        <v>Net Banking</v>
      </c>
      <c r="AE77" t="s">
        <v>639</v>
      </c>
      <c r="AF77">
        <f t="shared" si="35"/>
        <v>25</v>
      </c>
      <c r="AG77" s="6">
        <f t="shared" si="36"/>
        <v>10840.201600000002</v>
      </c>
      <c r="AH77">
        <f t="shared" si="37"/>
        <v>142</v>
      </c>
      <c r="AI77">
        <f t="shared" si="38"/>
        <v>14.668400000000002</v>
      </c>
      <c r="AJ77">
        <f t="shared" si="39"/>
        <v>11323.3</v>
      </c>
      <c r="AK77">
        <f t="shared" si="40"/>
        <v>68.73</v>
      </c>
      <c r="AL77">
        <f t="shared" si="41"/>
        <v>2</v>
      </c>
      <c r="AM77">
        <f t="shared" si="42"/>
        <v>53</v>
      </c>
      <c r="AN77">
        <f t="shared" si="43"/>
        <v>7038.7</v>
      </c>
      <c r="AO77">
        <f t="shared" si="44"/>
        <v>351.935</v>
      </c>
      <c r="AP77">
        <f t="shared" si="45"/>
        <v>6686.7649999999994</v>
      </c>
      <c r="AQ77">
        <f t="shared" si="46"/>
        <v>6864.6449999999995</v>
      </c>
      <c r="AR77">
        <f t="shared" si="47"/>
        <v>5</v>
      </c>
    </row>
    <row r="78" spans="1:44" x14ac:dyDescent="0.3">
      <c r="A78">
        <v>77</v>
      </c>
      <c r="B78" t="s">
        <v>101</v>
      </c>
      <c r="C78" t="str">
        <f>TEXT(Table1[[#This Row],[Order Date]],"dddd")</f>
        <v>Tuesday</v>
      </c>
      <c r="D78" t="str">
        <f>TEXT(Table1[[#This Row],[Order Date]],"mmm")</f>
        <v>Oct</v>
      </c>
      <c r="E78" s="5" t="s">
        <v>201</v>
      </c>
      <c r="F78" s="3" t="s">
        <v>202</v>
      </c>
      <c r="G78" t="s">
        <v>311</v>
      </c>
      <c r="H78" t="s">
        <v>389</v>
      </c>
      <c r="I78" t="str">
        <f>PROPER(TRIM(Table1[[#This Row],[Customer Name]]))</f>
        <v>Priya Jain</v>
      </c>
      <c r="J78" t="s">
        <v>475</v>
      </c>
      <c r="K78" t="s">
        <v>491</v>
      </c>
      <c r="L78" t="s">
        <v>495</v>
      </c>
      <c r="M78" t="s">
        <v>501</v>
      </c>
      <c r="N78" t="s">
        <v>507</v>
      </c>
      <c r="O78">
        <v>413808</v>
      </c>
      <c r="P78" t="s">
        <v>508</v>
      </c>
      <c r="Q78" t="s">
        <v>511</v>
      </c>
      <c r="R78" t="s">
        <v>590</v>
      </c>
      <c r="S78" t="str">
        <f t="shared" si="32"/>
        <v>OFF</v>
      </c>
      <c r="T78" t="str">
        <f t="shared" si="33"/>
        <v>:CAB</v>
      </c>
      <c r="U78" t="s">
        <v>624</v>
      </c>
      <c r="V78" t="s">
        <v>633</v>
      </c>
      <c r="W78">
        <v>18199.45</v>
      </c>
      <c r="X78">
        <v>7</v>
      </c>
      <c r="Y78">
        <v>0</v>
      </c>
      <c r="Z78">
        <v>-6.61</v>
      </c>
      <c r="AA78">
        <v>5228.03</v>
      </c>
      <c r="AB78" t="s">
        <v>635</v>
      </c>
      <c r="AC78">
        <v>2025</v>
      </c>
      <c r="AD78" t="str">
        <f t="shared" si="34"/>
        <v>BNPL</v>
      </c>
      <c r="AE78" t="s">
        <v>640</v>
      </c>
      <c r="AF78">
        <f t="shared" si="35"/>
        <v>24</v>
      </c>
      <c r="AG78" s="6">
        <f t="shared" si="36"/>
        <v>11262.548750000002</v>
      </c>
      <c r="AH78">
        <f t="shared" si="37"/>
        <v>132</v>
      </c>
      <c r="AI78">
        <f t="shared" si="38"/>
        <v>14.263333333333334</v>
      </c>
      <c r="AJ78">
        <f t="shared" si="39"/>
        <v>11323.3</v>
      </c>
      <c r="AK78">
        <f t="shared" si="40"/>
        <v>68.73</v>
      </c>
      <c r="AL78">
        <f t="shared" si="41"/>
        <v>2</v>
      </c>
      <c r="AM78">
        <f t="shared" si="42"/>
        <v>53</v>
      </c>
      <c r="AN78">
        <f t="shared" si="43"/>
        <v>127396.15000000001</v>
      </c>
      <c r="AO78">
        <f t="shared" si="44"/>
        <v>0</v>
      </c>
      <c r="AP78">
        <f t="shared" si="45"/>
        <v>127396.15000000001</v>
      </c>
      <c r="AQ78">
        <f t="shared" si="46"/>
        <v>132624.18000000002</v>
      </c>
      <c r="AR78">
        <f t="shared" si="47"/>
        <v>4</v>
      </c>
    </row>
    <row r="79" spans="1:44" x14ac:dyDescent="0.3">
      <c r="A79">
        <v>78</v>
      </c>
      <c r="B79" t="s">
        <v>102</v>
      </c>
      <c r="C79" t="str">
        <f>TEXT(Table1[[#This Row],[Order Date]],"dddd")</f>
        <v>Saturday</v>
      </c>
      <c r="D79" t="str">
        <f>TEXT(Table1[[#This Row],[Order Date]],"mmm")</f>
        <v>Oct</v>
      </c>
      <c r="E79" s="5" t="s">
        <v>202</v>
      </c>
      <c r="F79" s="3" t="s">
        <v>290</v>
      </c>
      <c r="G79" t="s">
        <v>311</v>
      </c>
      <c r="H79" t="s">
        <v>390</v>
      </c>
      <c r="I79" t="str">
        <f>PROPER(TRIM(Table1[[#This Row],[Customer Name]]))</f>
        <v>Vivaan Reddy</v>
      </c>
      <c r="J79" t="s">
        <v>476</v>
      </c>
      <c r="K79" t="s">
        <v>490</v>
      </c>
      <c r="L79" t="s">
        <v>495</v>
      </c>
      <c r="M79" t="s">
        <v>502</v>
      </c>
      <c r="N79" t="s">
        <v>507</v>
      </c>
      <c r="O79">
        <v>557505</v>
      </c>
      <c r="P79" t="s">
        <v>508</v>
      </c>
      <c r="Q79" t="s">
        <v>509</v>
      </c>
      <c r="R79" t="s">
        <v>591</v>
      </c>
      <c r="S79" t="str">
        <f t="shared" si="32"/>
        <v>TEC</v>
      </c>
      <c r="T79" t="str">
        <f t="shared" si="33"/>
        <v>:MSW</v>
      </c>
      <c r="U79" t="s">
        <v>616</v>
      </c>
      <c r="V79" t="s">
        <v>631</v>
      </c>
      <c r="W79">
        <v>3125.21</v>
      </c>
      <c r="X79">
        <v>1</v>
      </c>
      <c r="Y79">
        <v>0</v>
      </c>
      <c r="Z79">
        <v>5.05</v>
      </c>
      <c r="AA79">
        <v>68.73</v>
      </c>
      <c r="AB79" t="s">
        <v>635</v>
      </c>
      <c r="AC79">
        <v>2025</v>
      </c>
      <c r="AD79" t="str">
        <f t="shared" si="34"/>
        <v>Credit Card</v>
      </c>
      <c r="AE79" t="s">
        <v>645</v>
      </c>
      <c r="AF79">
        <f t="shared" si="35"/>
        <v>23</v>
      </c>
      <c r="AG79" s="6">
        <f t="shared" si="36"/>
        <v>10960.944347826087</v>
      </c>
      <c r="AH79">
        <f t="shared" si="37"/>
        <v>125</v>
      </c>
      <c r="AI79">
        <f t="shared" si="38"/>
        <v>15.170869565217391</v>
      </c>
      <c r="AJ79">
        <f t="shared" si="39"/>
        <v>11323.3</v>
      </c>
      <c r="AK79">
        <f t="shared" si="40"/>
        <v>68.73</v>
      </c>
      <c r="AL79">
        <f t="shared" si="41"/>
        <v>2</v>
      </c>
      <c r="AM79">
        <f t="shared" si="42"/>
        <v>46</v>
      </c>
      <c r="AN79">
        <f t="shared" si="43"/>
        <v>3125.21</v>
      </c>
      <c r="AO79">
        <f t="shared" si="44"/>
        <v>0</v>
      </c>
      <c r="AP79">
        <f t="shared" si="45"/>
        <v>3125.21</v>
      </c>
      <c r="AQ79">
        <f t="shared" si="46"/>
        <v>3193.94</v>
      </c>
      <c r="AR79">
        <f t="shared" si="47"/>
        <v>1</v>
      </c>
    </row>
    <row r="80" spans="1:44" x14ac:dyDescent="0.3">
      <c r="A80">
        <v>79</v>
      </c>
      <c r="B80" t="s">
        <v>103</v>
      </c>
      <c r="C80" t="str">
        <f>TEXT(Table1[[#This Row],[Order Date]],"dddd")</f>
        <v>Tuesday</v>
      </c>
      <c r="D80" t="str">
        <f>TEXT(Table1[[#This Row],[Order Date]],"mmm")</f>
        <v>Oct</v>
      </c>
      <c r="E80" s="5" t="s">
        <v>203</v>
      </c>
      <c r="F80" s="3" t="s">
        <v>291</v>
      </c>
      <c r="G80" t="s">
        <v>309</v>
      </c>
      <c r="H80" t="s">
        <v>391</v>
      </c>
      <c r="I80" t="str">
        <f>PROPER(TRIM(Table1[[#This Row],[Customer Name]]))</f>
        <v>Ayaan Sharma</v>
      </c>
      <c r="J80" t="s">
        <v>460</v>
      </c>
      <c r="K80" t="s">
        <v>490</v>
      </c>
      <c r="L80" t="s">
        <v>497</v>
      </c>
      <c r="M80" t="s">
        <v>496</v>
      </c>
      <c r="N80" t="s">
        <v>507</v>
      </c>
      <c r="O80">
        <v>638068</v>
      </c>
      <c r="P80" t="s">
        <v>508</v>
      </c>
      <c r="Q80" t="s">
        <v>512</v>
      </c>
      <c r="R80" t="s">
        <v>592</v>
      </c>
      <c r="S80" t="str">
        <f t="shared" si="32"/>
        <v>OFF</v>
      </c>
      <c r="T80" t="str">
        <f t="shared" si="33"/>
        <v>:BIN</v>
      </c>
      <c r="U80" t="s">
        <v>625</v>
      </c>
      <c r="V80" t="s">
        <v>629</v>
      </c>
      <c r="W80">
        <v>45170.26</v>
      </c>
      <c r="X80">
        <v>8</v>
      </c>
      <c r="Y80">
        <v>5</v>
      </c>
      <c r="Z80">
        <v>25.41</v>
      </c>
      <c r="AA80">
        <v>8930.9599999999991</v>
      </c>
      <c r="AB80" t="s">
        <v>638</v>
      </c>
      <c r="AC80">
        <v>2025</v>
      </c>
      <c r="AD80" t="str">
        <f t="shared" si="34"/>
        <v>UPI</v>
      </c>
      <c r="AE80" t="s">
        <v>648</v>
      </c>
      <c r="AF80">
        <f t="shared" si="35"/>
        <v>22</v>
      </c>
      <c r="AG80" s="6">
        <f t="shared" si="36"/>
        <v>11317.114090909092</v>
      </c>
      <c r="AH80">
        <f t="shared" si="37"/>
        <v>124</v>
      </c>
      <c r="AI80">
        <f t="shared" si="38"/>
        <v>15.630909090909091</v>
      </c>
      <c r="AJ80">
        <f t="shared" si="39"/>
        <v>11323.3</v>
      </c>
      <c r="AK80">
        <f t="shared" si="40"/>
        <v>71.12</v>
      </c>
      <c r="AL80">
        <f t="shared" si="41"/>
        <v>2</v>
      </c>
      <c r="AM80">
        <f t="shared" si="42"/>
        <v>46</v>
      </c>
      <c r="AN80">
        <f t="shared" si="43"/>
        <v>361362.08</v>
      </c>
      <c r="AO80">
        <f t="shared" si="44"/>
        <v>18068.104000000003</v>
      </c>
      <c r="AP80">
        <f t="shared" si="45"/>
        <v>343293.97600000002</v>
      </c>
      <c r="AQ80">
        <f t="shared" si="46"/>
        <v>352224.93600000005</v>
      </c>
      <c r="AR80">
        <f t="shared" si="47"/>
        <v>6</v>
      </c>
    </row>
    <row r="81" spans="1:44" x14ac:dyDescent="0.3">
      <c r="A81">
        <v>80</v>
      </c>
      <c r="B81" t="s">
        <v>104</v>
      </c>
      <c r="C81" t="str">
        <f>TEXT(Table1[[#This Row],[Order Date]],"dddd")</f>
        <v>Saturday</v>
      </c>
      <c r="D81" t="str">
        <f>TEXT(Table1[[#This Row],[Order Date]],"mmm")</f>
        <v>Oct</v>
      </c>
      <c r="E81" s="5" t="s">
        <v>204</v>
      </c>
      <c r="F81" s="3" t="s">
        <v>292</v>
      </c>
      <c r="G81" t="s">
        <v>312</v>
      </c>
      <c r="H81" t="s">
        <v>392</v>
      </c>
      <c r="I81" t="str">
        <f>PROPER(TRIM(Table1[[#This Row],[Customer Name]]))</f>
        <v>Saanvi Gupta</v>
      </c>
      <c r="J81" t="s">
        <v>477</v>
      </c>
      <c r="K81" t="s">
        <v>490</v>
      </c>
      <c r="L81" t="s">
        <v>497</v>
      </c>
      <c r="M81" t="s">
        <v>503</v>
      </c>
      <c r="N81" t="s">
        <v>507</v>
      </c>
      <c r="O81">
        <v>568153</v>
      </c>
      <c r="P81" t="s">
        <v>508</v>
      </c>
      <c r="Q81" t="s">
        <v>512</v>
      </c>
      <c r="R81" t="s">
        <v>593</v>
      </c>
      <c r="S81" t="str">
        <f t="shared" si="32"/>
        <v>TEC</v>
      </c>
      <c r="T81" t="str">
        <f t="shared" si="33"/>
        <v>:MSW</v>
      </c>
      <c r="U81" t="s">
        <v>616</v>
      </c>
      <c r="V81" t="s">
        <v>630</v>
      </c>
      <c r="W81">
        <v>1091.27</v>
      </c>
      <c r="X81">
        <v>3</v>
      </c>
      <c r="Y81">
        <v>10</v>
      </c>
      <c r="Z81">
        <v>-6.63</v>
      </c>
      <c r="AA81">
        <v>143.44</v>
      </c>
      <c r="AB81" t="s">
        <v>637</v>
      </c>
      <c r="AC81">
        <v>2025</v>
      </c>
      <c r="AD81" t="str">
        <f t="shared" si="34"/>
        <v>Debit Card</v>
      </c>
      <c r="AE81" t="s">
        <v>647</v>
      </c>
      <c r="AF81">
        <f t="shared" si="35"/>
        <v>21</v>
      </c>
      <c r="AG81" s="6">
        <f t="shared" si="36"/>
        <v>9705.0595238095229</v>
      </c>
      <c r="AH81">
        <f t="shared" si="37"/>
        <v>116</v>
      </c>
      <c r="AI81">
        <f t="shared" si="38"/>
        <v>15.165238095238097</v>
      </c>
      <c r="AJ81">
        <f t="shared" si="39"/>
        <v>11323.3</v>
      </c>
      <c r="AK81">
        <f t="shared" si="40"/>
        <v>71.12</v>
      </c>
      <c r="AL81">
        <f t="shared" si="41"/>
        <v>1</v>
      </c>
      <c r="AM81">
        <f t="shared" si="42"/>
        <v>38</v>
      </c>
      <c r="AN81">
        <f t="shared" si="43"/>
        <v>3273.81</v>
      </c>
      <c r="AO81">
        <f t="shared" si="44"/>
        <v>327.38099999999997</v>
      </c>
      <c r="AP81">
        <f t="shared" si="45"/>
        <v>2946.4290000000001</v>
      </c>
      <c r="AQ81">
        <f t="shared" si="46"/>
        <v>3089.8690000000001</v>
      </c>
      <c r="AR81">
        <f t="shared" si="47"/>
        <v>6</v>
      </c>
    </row>
    <row r="82" spans="1:44" x14ac:dyDescent="0.3">
      <c r="A82">
        <v>81</v>
      </c>
      <c r="B82" t="s">
        <v>105</v>
      </c>
      <c r="C82" t="str">
        <f>TEXT(Table1[[#This Row],[Order Date]],"dddd")</f>
        <v>Wednesday</v>
      </c>
      <c r="D82" t="str">
        <f>TEXT(Table1[[#This Row],[Order Date]],"mmm")</f>
        <v>Oct</v>
      </c>
      <c r="E82" s="5" t="s">
        <v>205</v>
      </c>
      <c r="F82" s="3" t="s">
        <v>293</v>
      </c>
      <c r="G82" t="s">
        <v>309</v>
      </c>
      <c r="H82" t="s">
        <v>393</v>
      </c>
      <c r="I82" t="str">
        <f>PROPER(TRIM(Table1[[#This Row],[Customer Name]]))</f>
        <v>Ishaan Iyer</v>
      </c>
      <c r="J82" t="s">
        <v>478</v>
      </c>
      <c r="K82" t="s">
        <v>491</v>
      </c>
      <c r="L82" t="s">
        <v>499</v>
      </c>
      <c r="M82" t="s">
        <v>505</v>
      </c>
      <c r="N82" t="s">
        <v>507</v>
      </c>
      <c r="O82">
        <v>794541</v>
      </c>
      <c r="P82" t="s">
        <v>508</v>
      </c>
      <c r="Q82" t="s">
        <v>510</v>
      </c>
      <c r="R82" t="s">
        <v>594</v>
      </c>
      <c r="S82" t="str">
        <f t="shared" si="32"/>
        <v>TEC</v>
      </c>
      <c r="T82" t="str">
        <f t="shared" si="33"/>
        <v>:PH</v>
      </c>
      <c r="U82" t="s">
        <v>626</v>
      </c>
      <c r="V82" t="s">
        <v>634</v>
      </c>
      <c r="W82">
        <v>11199.08</v>
      </c>
      <c r="X82">
        <v>2</v>
      </c>
      <c r="Y82">
        <v>25</v>
      </c>
      <c r="Z82">
        <v>19.11</v>
      </c>
      <c r="AA82">
        <v>626.32000000000005</v>
      </c>
      <c r="AB82" t="s">
        <v>635</v>
      </c>
      <c r="AC82">
        <v>2025</v>
      </c>
      <c r="AD82" t="str">
        <f t="shared" si="34"/>
        <v>BNPL</v>
      </c>
      <c r="AE82" t="s">
        <v>640</v>
      </c>
      <c r="AF82">
        <f t="shared" si="35"/>
        <v>20</v>
      </c>
      <c r="AG82" s="6">
        <f t="shared" si="36"/>
        <v>10135.749</v>
      </c>
      <c r="AH82">
        <f t="shared" si="37"/>
        <v>113</v>
      </c>
      <c r="AI82">
        <f t="shared" si="38"/>
        <v>16.255000000000003</v>
      </c>
      <c r="AJ82">
        <f t="shared" si="39"/>
        <v>11323.3</v>
      </c>
      <c r="AK82">
        <f t="shared" si="40"/>
        <v>71.12</v>
      </c>
      <c r="AL82">
        <f t="shared" si="41"/>
        <v>1</v>
      </c>
      <c r="AM82">
        <f t="shared" si="42"/>
        <v>38</v>
      </c>
      <c r="AN82">
        <f t="shared" si="43"/>
        <v>22398.16</v>
      </c>
      <c r="AO82">
        <f t="shared" si="44"/>
        <v>5599.54</v>
      </c>
      <c r="AP82">
        <f t="shared" si="45"/>
        <v>16798.62</v>
      </c>
      <c r="AQ82">
        <f t="shared" si="46"/>
        <v>17424.939999999999</v>
      </c>
      <c r="AR82">
        <f t="shared" si="47"/>
        <v>4</v>
      </c>
    </row>
    <row r="83" spans="1:44" x14ac:dyDescent="0.3">
      <c r="A83">
        <v>82</v>
      </c>
      <c r="B83" t="s">
        <v>106</v>
      </c>
      <c r="C83" t="str">
        <f>TEXT(Table1[[#This Row],[Order Date]],"dddd")</f>
        <v>Saturday</v>
      </c>
      <c r="D83" t="str">
        <f>TEXT(Table1[[#This Row],[Order Date]],"mmm")</f>
        <v>Oct</v>
      </c>
      <c r="E83" s="5" t="s">
        <v>206</v>
      </c>
      <c r="F83" s="3" t="s">
        <v>294</v>
      </c>
      <c r="G83" t="s">
        <v>309</v>
      </c>
      <c r="H83" t="s">
        <v>394</v>
      </c>
      <c r="I83" t="str">
        <f>PROPER(TRIM(Table1[[#This Row],[Customer Name]]))</f>
        <v>Arjun Jain</v>
      </c>
      <c r="J83" t="s">
        <v>413</v>
      </c>
      <c r="K83" t="s">
        <v>491</v>
      </c>
      <c r="L83" t="s">
        <v>495</v>
      </c>
      <c r="M83" t="s">
        <v>502</v>
      </c>
      <c r="N83" t="s">
        <v>507</v>
      </c>
      <c r="O83">
        <v>753412</v>
      </c>
      <c r="P83" t="s">
        <v>508</v>
      </c>
      <c r="Q83" t="s">
        <v>510</v>
      </c>
      <c r="R83" t="s">
        <v>595</v>
      </c>
      <c r="S83" t="str">
        <f t="shared" si="32"/>
        <v>OFF</v>
      </c>
      <c r="T83" t="str">
        <f t="shared" si="33"/>
        <v>:BIN</v>
      </c>
      <c r="U83" t="s">
        <v>625</v>
      </c>
      <c r="V83" t="s">
        <v>633</v>
      </c>
      <c r="W83">
        <v>19380.72</v>
      </c>
      <c r="X83">
        <v>3</v>
      </c>
      <c r="Y83">
        <v>20</v>
      </c>
      <c r="Z83">
        <v>7.29</v>
      </c>
      <c r="AA83">
        <v>3142.73</v>
      </c>
      <c r="AB83" t="s">
        <v>638</v>
      </c>
      <c r="AC83">
        <v>2025</v>
      </c>
      <c r="AD83" t="str">
        <f t="shared" si="34"/>
        <v>UPI</v>
      </c>
      <c r="AE83" t="s">
        <v>648</v>
      </c>
      <c r="AF83">
        <f t="shared" si="35"/>
        <v>19</v>
      </c>
      <c r="AG83" s="6">
        <f t="shared" si="36"/>
        <v>10079.784210526315</v>
      </c>
      <c r="AH83">
        <f t="shared" si="37"/>
        <v>111</v>
      </c>
      <c r="AI83">
        <f t="shared" si="38"/>
        <v>16.104736842105265</v>
      </c>
      <c r="AJ83">
        <f t="shared" si="39"/>
        <v>11323.3</v>
      </c>
      <c r="AK83">
        <f t="shared" si="40"/>
        <v>71.12</v>
      </c>
      <c r="AL83">
        <f t="shared" si="41"/>
        <v>1</v>
      </c>
      <c r="AM83">
        <f t="shared" si="42"/>
        <v>36</v>
      </c>
      <c r="AN83">
        <f t="shared" si="43"/>
        <v>58142.16</v>
      </c>
      <c r="AO83">
        <f t="shared" si="44"/>
        <v>11628.432000000003</v>
      </c>
      <c r="AP83">
        <f t="shared" si="45"/>
        <v>46513.728000000003</v>
      </c>
      <c r="AQ83">
        <f t="shared" si="46"/>
        <v>49656.458000000006</v>
      </c>
      <c r="AR83">
        <f t="shared" si="47"/>
        <v>3</v>
      </c>
    </row>
    <row r="84" spans="1:44" x14ac:dyDescent="0.3">
      <c r="A84">
        <v>83</v>
      </c>
      <c r="B84" t="s">
        <v>107</v>
      </c>
      <c r="C84" t="str">
        <f>TEXT(Table1[[#This Row],[Order Date]],"dddd")</f>
        <v>Wednesday</v>
      </c>
      <c r="D84" t="str">
        <f>TEXT(Table1[[#This Row],[Order Date]],"mmm")</f>
        <v>Oct</v>
      </c>
      <c r="E84" s="5" t="s">
        <v>207</v>
      </c>
      <c r="F84" s="3" t="s">
        <v>208</v>
      </c>
      <c r="G84" t="s">
        <v>311</v>
      </c>
      <c r="H84" t="s">
        <v>395</v>
      </c>
      <c r="I84" t="str">
        <f>PROPER(TRIM(Table1[[#This Row],[Customer Name]]))</f>
        <v>Pooja Nair</v>
      </c>
      <c r="J84" t="s">
        <v>479</v>
      </c>
      <c r="K84" t="s">
        <v>491</v>
      </c>
      <c r="L84" t="s">
        <v>499</v>
      </c>
      <c r="M84" t="s">
        <v>502</v>
      </c>
      <c r="N84" t="s">
        <v>507</v>
      </c>
      <c r="O84">
        <v>566982</v>
      </c>
      <c r="P84" t="s">
        <v>508</v>
      </c>
      <c r="Q84" t="s">
        <v>509</v>
      </c>
      <c r="R84" t="s">
        <v>596</v>
      </c>
      <c r="S84" t="str">
        <f t="shared" si="32"/>
        <v>TEC</v>
      </c>
      <c r="T84" t="str">
        <f t="shared" si="33"/>
        <v>:PH</v>
      </c>
      <c r="U84" t="s">
        <v>626</v>
      </c>
      <c r="V84" t="s">
        <v>633</v>
      </c>
      <c r="W84">
        <v>16956.36</v>
      </c>
      <c r="X84">
        <v>5</v>
      </c>
      <c r="Y84">
        <v>20</v>
      </c>
      <c r="Z84">
        <v>21.05</v>
      </c>
      <c r="AA84">
        <v>5202.88</v>
      </c>
      <c r="AB84" t="s">
        <v>637</v>
      </c>
      <c r="AC84">
        <v>2025</v>
      </c>
      <c r="AD84" t="str">
        <f t="shared" si="34"/>
        <v>Net Banking</v>
      </c>
      <c r="AE84" t="s">
        <v>639</v>
      </c>
      <c r="AF84">
        <f t="shared" si="35"/>
        <v>18</v>
      </c>
      <c r="AG84" s="6">
        <f t="shared" si="36"/>
        <v>9563.065555555555</v>
      </c>
      <c r="AH84">
        <f t="shared" si="37"/>
        <v>108</v>
      </c>
      <c r="AI84">
        <f t="shared" si="38"/>
        <v>16.594444444444449</v>
      </c>
      <c r="AJ84">
        <f t="shared" si="39"/>
        <v>11323.3</v>
      </c>
      <c r="AK84">
        <f t="shared" si="40"/>
        <v>71.12</v>
      </c>
      <c r="AL84">
        <f t="shared" si="41"/>
        <v>0</v>
      </c>
      <c r="AM84">
        <f t="shared" si="42"/>
        <v>33</v>
      </c>
      <c r="AN84">
        <f t="shared" si="43"/>
        <v>84781.8</v>
      </c>
      <c r="AO84">
        <f t="shared" si="44"/>
        <v>16956.36</v>
      </c>
      <c r="AP84">
        <f t="shared" si="45"/>
        <v>67825.440000000002</v>
      </c>
      <c r="AQ84">
        <f t="shared" si="46"/>
        <v>73028.320000000007</v>
      </c>
      <c r="AR84">
        <f t="shared" si="47"/>
        <v>4</v>
      </c>
    </row>
    <row r="85" spans="1:44" x14ac:dyDescent="0.3">
      <c r="A85">
        <v>84</v>
      </c>
      <c r="B85" t="s">
        <v>108</v>
      </c>
      <c r="C85" t="str">
        <f>TEXT(Table1[[#This Row],[Order Date]],"dddd")</f>
        <v>Sunday</v>
      </c>
      <c r="D85" t="str">
        <f>TEXT(Table1[[#This Row],[Order Date]],"mmm")</f>
        <v>Nov</v>
      </c>
      <c r="E85" s="5" t="s">
        <v>208</v>
      </c>
      <c r="F85" s="3" t="s">
        <v>295</v>
      </c>
      <c r="G85" t="s">
        <v>310</v>
      </c>
      <c r="H85" t="s">
        <v>396</v>
      </c>
      <c r="I85" t="str">
        <f>PROPER(TRIM(Table1[[#This Row],[Customer Name]]))</f>
        <v>Vivaan Reddy</v>
      </c>
      <c r="J85" t="s">
        <v>476</v>
      </c>
      <c r="K85" t="s">
        <v>491</v>
      </c>
      <c r="L85" t="s">
        <v>500</v>
      </c>
      <c r="M85" t="s">
        <v>506</v>
      </c>
      <c r="N85" t="s">
        <v>507</v>
      </c>
      <c r="O85">
        <v>620412</v>
      </c>
      <c r="P85" t="s">
        <v>508</v>
      </c>
      <c r="Q85" t="s">
        <v>512</v>
      </c>
      <c r="R85" t="s">
        <v>597</v>
      </c>
      <c r="S85" t="str">
        <f t="shared" si="32"/>
        <v>TEC</v>
      </c>
      <c r="T85" t="str">
        <f t="shared" si="33"/>
        <v>:MON</v>
      </c>
      <c r="U85" t="s">
        <v>614</v>
      </c>
      <c r="V85" t="s">
        <v>628</v>
      </c>
      <c r="W85">
        <v>663.41</v>
      </c>
      <c r="X85">
        <v>11</v>
      </c>
      <c r="Y85">
        <v>25</v>
      </c>
      <c r="Z85">
        <v>-7.71</v>
      </c>
      <c r="AA85">
        <v>496.49</v>
      </c>
      <c r="AB85" t="s">
        <v>635</v>
      </c>
      <c r="AC85">
        <v>2025</v>
      </c>
      <c r="AD85" t="str">
        <f t="shared" si="34"/>
        <v>Credit Card</v>
      </c>
      <c r="AE85" t="s">
        <v>645</v>
      </c>
      <c r="AF85">
        <f t="shared" si="35"/>
        <v>17</v>
      </c>
      <c r="AG85" s="6">
        <f t="shared" si="36"/>
        <v>9128.1658823529415</v>
      </c>
      <c r="AH85">
        <f t="shared" si="37"/>
        <v>103</v>
      </c>
      <c r="AI85">
        <f t="shared" si="38"/>
        <v>16.332352941176474</v>
      </c>
      <c r="AJ85">
        <f t="shared" si="39"/>
        <v>11323.3</v>
      </c>
      <c r="AK85">
        <f t="shared" si="40"/>
        <v>71.12</v>
      </c>
      <c r="AL85">
        <f t="shared" si="41"/>
        <v>0</v>
      </c>
      <c r="AM85">
        <f t="shared" si="42"/>
        <v>28</v>
      </c>
      <c r="AN85">
        <f t="shared" si="43"/>
        <v>7297.5099999999993</v>
      </c>
      <c r="AO85">
        <f t="shared" si="44"/>
        <v>1824.3774999999996</v>
      </c>
      <c r="AP85">
        <f t="shared" si="45"/>
        <v>5473.1324999999997</v>
      </c>
      <c r="AQ85">
        <f t="shared" si="46"/>
        <v>5969.6224999999995</v>
      </c>
      <c r="AR85">
        <f t="shared" si="47"/>
        <v>2</v>
      </c>
    </row>
    <row r="86" spans="1:44" x14ac:dyDescent="0.3">
      <c r="A86">
        <v>85</v>
      </c>
      <c r="B86" t="s">
        <v>109</v>
      </c>
      <c r="C86" t="str">
        <f>TEXT(Table1[[#This Row],[Order Date]],"dddd")</f>
        <v>Wednesday</v>
      </c>
      <c r="D86" t="str">
        <f>TEXT(Table1[[#This Row],[Order Date]],"mmm")</f>
        <v>Nov</v>
      </c>
      <c r="E86" s="5" t="s">
        <v>209</v>
      </c>
      <c r="F86" s="3" t="s">
        <v>296</v>
      </c>
      <c r="G86" t="s">
        <v>311</v>
      </c>
      <c r="H86" t="s">
        <v>397</v>
      </c>
      <c r="I86" t="str">
        <f>PROPER(TRIM(Table1[[#This Row],[Customer Name]]))</f>
        <v>Ananya Jain</v>
      </c>
      <c r="J86" t="s">
        <v>480</v>
      </c>
      <c r="K86" t="s">
        <v>491</v>
      </c>
      <c r="L86" t="s">
        <v>499</v>
      </c>
      <c r="M86" t="s">
        <v>496</v>
      </c>
      <c r="N86" t="s">
        <v>507</v>
      </c>
      <c r="O86">
        <v>419871</v>
      </c>
      <c r="P86" t="s">
        <v>508</v>
      </c>
      <c r="Q86" t="s">
        <v>513</v>
      </c>
      <c r="R86" t="s">
        <v>598</v>
      </c>
      <c r="S86" t="str">
        <f t="shared" si="32"/>
        <v>FUR</v>
      </c>
      <c r="T86" t="str">
        <f t="shared" si="33"/>
        <v>:TBL</v>
      </c>
      <c r="U86" t="s">
        <v>617</v>
      </c>
      <c r="V86" t="s">
        <v>630</v>
      </c>
      <c r="W86">
        <v>1138.8800000000001</v>
      </c>
      <c r="X86">
        <v>8</v>
      </c>
      <c r="Y86">
        <v>0</v>
      </c>
      <c r="Z86">
        <v>33.58</v>
      </c>
      <c r="AA86">
        <v>291.64</v>
      </c>
      <c r="AB86" t="s">
        <v>636</v>
      </c>
      <c r="AC86">
        <v>2025</v>
      </c>
      <c r="AD86" t="str">
        <f t="shared" si="34"/>
        <v>Mobile Wallets</v>
      </c>
      <c r="AE86" t="s">
        <v>650</v>
      </c>
      <c r="AF86">
        <f t="shared" si="35"/>
        <v>16</v>
      </c>
      <c r="AG86" s="6">
        <f t="shared" si="36"/>
        <v>9657.2131250000002</v>
      </c>
      <c r="AH86">
        <f t="shared" si="37"/>
        <v>92</v>
      </c>
      <c r="AI86">
        <f t="shared" si="38"/>
        <v>17.835000000000001</v>
      </c>
      <c r="AJ86">
        <f t="shared" si="39"/>
        <v>11323.3</v>
      </c>
      <c r="AK86">
        <f t="shared" si="40"/>
        <v>71.12</v>
      </c>
      <c r="AL86">
        <f t="shared" si="41"/>
        <v>0</v>
      </c>
      <c r="AM86">
        <f t="shared" si="42"/>
        <v>28</v>
      </c>
      <c r="AN86">
        <f t="shared" si="43"/>
        <v>9111.0400000000009</v>
      </c>
      <c r="AO86">
        <f t="shared" si="44"/>
        <v>0</v>
      </c>
      <c r="AP86">
        <f t="shared" si="45"/>
        <v>9111.0400000000009</v>
      </c>
      <c r="AQ86">
        <f t="shared" si="46"/>
        <v>9402.68</v>
      </c>
      <c r="AR86">
        <f t="shared" si="47"/>
        <v>2</v>
      </c>
    </row>
    <row r="87" spans="1:44" x14ac:dyDescent="0.3">
      <c r="A87">
        <v>86</v>
      </c>
      <c r="B87" t="s">
        <v>110</v>
      </c>
      <c r="C87" t="str">
        <f>TEXT(Table1[[#This Row],[Order Date]],"dddd")</f>
        <v>Sunday</v>
      </c>
      <c r="D87" t="str">
        <f>TEXT(Table1[[#This Row],[Order Date]],"mmm")</f>
        <v>Nov</v>
      </c>
      <c r="E87" s="5" t="s">
        <v>210</v>
      </c>
      <c r="F87" s="3" t="s">
        <v>297</v>
      </c>
      <c r="G87" t="s">
        <v>310</v>
      </c>
      <c r="H87" t="s">
        <v>398</v>
      </c>
      <c r="I87" t="str">
        <f>PROPER(TRIM(Table1[[#This Row],[Customer Name]]))</f>
        <v>Arjun Iyer</v>
      </c>
      <c r="J87" t="s">
        <v>453</v>
      </c>
      <c r="K87" t="s">
        <v>492</v>
      </c>
      <c r="L87" t="s">
        <v>497</v>
      </c>
      <c r="M87" t="s">
        <v>503</v>
      </c>
      <c r="N87" t="s">
        <v>507</v>
      </c>
      <c r="O87">
        <v>603197</v>
      </c>
      <c r="P87" t="s">
        <v>508</v>
      </c>
      <c r="Q87" t="s">
        <v>510</v>
      </c>
      <c r="R87" t="s">
        <v>599</v>
      </c>
      <c r="S87" t="str">
        <f t="shared" si="32"/>
        <v>TEC</v>
      </c>
      <c r="T87" t="str">
        <f t="shared" si="33"/>
        <v>:PH</v>
      </c>
      <c r="U87" t="s">
        <v>626</v>
      </c>
      <c r="V87" t="s">
        <v>627</v>
      </c>
      <c r="W87">
        <v>7333.94</v>
      </c>
      <c r="X87">
        <v>10</v>
      </c>
      <c r="Y87">
        <v>0</v>
      </c>
      <c r="Z87">
        <v>38.67</v>
      </c>
      <c r="AA87">
        <v>2203.77</v>
      </c>
      <c r="AB87" t="s">
        <v>637</v>
      </c>
      <c r="AC87">
        <v>2025</v>
      </c>
      <c r="AD87" t="str">
        <f t="shared" si="34"/>
        <v>Credit Card</v>
      </c>
      <c r="AE87" t="s">
        <v>645</v>
      </c>
      <c r="AF87">
        <f t="shared" si="35"/>
        <v>15</v>
      </c>
      <c r="AG87" s="6">
        <f t="shared" si="36"/>
        <v>10225.102000000001</v>
      </c>
      <c r="AH87">
        <f t="shared" si="37"/>
        <v>84</v>
      </c>
      <c r="AI87">
        <f t="shared" si="38"/>
        <v>16.785333333333334</v>
      </c>
      <c r="AJ87">
        <f t="shared" si="39"/>
        <v>11323.3</v>
      </c>
      <c r="AK87">
        <f t="shared" si="40"/>
        <v>71.12</v>
      </c>
      <c r="AL87">
        <f t="shared" si="41"/>
        <v>0</v>
      </c>
      <c r="AM87">
        <f t="shared" si="42"/>
        <v>28</v>
      </c>
      <c r="AN87">
        <f t="shared" si="43"/>
        <v>73339.399999999994</v>
      </c>
      <c r="AO87">
        <f t="shared" si="44"/>
        <v>0</v>
      </c>
      <c r="AP87">
        <f t="shared" si="45"/>
        <v>73339.399999999994</v>
      </c>
      <c r="AQ87">
        <f t="shared" si="46"/>
        <v>75543.17</v>
      </c>
      <c r="AR87">
        <f t="shared" si="47"/>
        <v>6</v>
      </c>
    </row>
    <row r="88" spans="1:44" x14ac:dyDescent="0.3">
      <c r="A88">
        <v>87</v>
      </c>
      <c r="B88" t="s">
        <v>111</v>
      </c>
      <c r="C88" t="str">
        <f>TEXT(Table1[[#This Row],[Order Date]],"dddd")</f>
        <v>Thursday</v>
      </c>
      <c r="D88" t="str">
        <f>TEXT(Table1[[#This Row],[Order Date]],"mmm")</f>
        <v>Nov</v>
      </c>
      <c r="E88" s="5" t="s">
        <v>211</v>
      </c>
      <c r="F88" s="3" t="s">
        <v>212</v>
      </c>
      <c r="G88" t="s">
        <v>311</v>
      </c>
      <c r="H88" t="s">
        <v>399</v>
      </c>
      <c r="I88" t="str">
        <f>PROPER(TRIM(Table1[[#This Row],[Customer Name]]))</f>
        <v>Aarav Mehta</v>
      </c>
      <c r="J88" t="s">
        <v>481</v>
      </c>
      <c r="K88" t="s">
        <v>490</v>
      </c>
      <c r="L88" t="s">
        <v>494</v>
      </c>
      <c r="M88" t="s">
        <v>496</v>
      </c>
      <c r="N88" t="s">
        <v>507</v>
      </c>
      <c r="O88">
        <v>648684</v>
      </c>
      <c r="P88" t="s">
        <v>508</v>
      </c>
      <c r="Q88" t="s">
        <v>509</v>
      </c>
      <c r="R88" t="s">
        <v>600</v>
      </c>
      <c r="S88" t="str">
        <f t="shared" si="32"/>
        <v>OFF</v>
      </c>
      <c r="T88" t="str">
        <f t="shared" si="33"/>
        <v>:BIN</v>
      </c>
      <c r="U88" t="s">
        <v>625</v>
      </c>
      <c r="V88" t="s">
        <v>627</v>
      </c>
      <c r="W88">
        <v>7183.04</v>
      </c>
      <c r="X88">
        <v>7</v>
      </c>
      <c r="Y88">
        <v>10</v>
      </c>
      <c r="Z88">
        <v>38.44</v>
      </c>
      <c r="AA88">
        <v>1321.09</v>
      </c>
      <c r="AB88" t="s">
        <v>635</v>
      </c>
      <c r="AC88">
        <v>2025</v>
      </c>
      <c r="AD88" t="str">
        <f t="shared" si="34"/>
        <v>BNPL</v>
      </c>
      <c r="AE88" t="s">
        <v>640</v>
      </c>
      <c r="AF88">
        <f t="shared" si="35"/>
        <v>14</v>
      </c>
      <c r="AG88" s="6">
        <f t="shared" si="36"/>
        <v>10431.613571428572</v>
      </c>
      <c r="AH88">
        <f t="shared" si="37"/>
        <v>74</v>
      </c>
      <c r="AI88">
        <f t="shared" si="38"/>
        <v>15.222142857142858</v>
      </c>
      <c r="AJ88">
        <f t="shared" si="39"/>
        <v>11323.3</v>
      </c>
      <c r="AK88">
        <f t="shared" si="40"/>
        <v>71.12</v>
      </c>
      <c r="AL88">
        <f t="shared" si="41"/>
        <v>0</v>
      </c>
      <c r="AM88">
        <f t="shared" si="42"/>
        <v>28</v>
      </c>
      <c r="AN88">
        <f t="shared" si="43"/>
        <v>50281.279999999999</v>
      </c>
      <c r="AO88">
        <f t="shared" si="44"/>
        <v>5028.1279999999997</v>
      </c>
      <c r="AP88">
        <f t="shared" si="45"/>
        <v>45253.152000000002</v>
      </c>
      <c r="AQ88">
        <f t="shared" si="46"/>
        <v>46574.241999999998</v>
      </c>
      <c r="AR88">
        <f t="shared" si="47"/>
        <v>3</v>
      </c>
    </row>
    <row r="89" spans="1:44" x14ac:dyDescent="0.3">
      <c r="A89">
        <v>88</v>
      </c>
      <c r="B89" t="s">
        <v>112</v>
      </c>
      <c r="C89" t="str">
        <f>TEXT(Table1[[#This Row],[Order Date]],"dddd")</f>
        <v>Sunday</v>
      </c>
      <c r="D89" t="str">
        <f>TEXT(Table1[[#This Row],[Order Date]],"mmm")</f>
        <v>Nov</v>
      </c>
      <c r="E89" s="5" t="s">
        <v>212</v>
      </c>
      <c r="F89" s="3" t="s">
        <v>298</v>
      </c>
      <c r="G89" t="s">
        <v>309</v>
      </c>
      <c r="H89" t="s">
        <v>400</v>
      </c>
      <c r="I89" t="str">
        <f>PROPER(TRIM(Table1[[#This Row],[Customer Name]]))</f>
        <v>Sai Jain</v>
      </c>
      <c r="J89" t="s">
        <v>482</v>
      </c>
      <c r="K89" t="s">
        <v>490</v>
      </c>
      <c r="L89" t="s">
        <v>499</v>
      </c>
      <c r="M89" t="s">
        <v>505</v>
      </c>
      <c r="N89" t="s">
        <v>507</v>
      </c>
      <c r="O89">
        <v>634678</v>
      </c>
      <c r="P89" t="s">
        <v>508</v>
      </c>
      <c r="Q89" t="s">
        <v>512</v>
      </c>
      <c r="R89" t="s">
        <v>601</v>
      </c>
      <c r="S89" t="str">
        <f t="shared" si="32"/>
        <v>TEC</v>
      </c>
      <c r="T89" t="str">
        <f t="shared" si="33"/>
        <v>:MON</v>
      </c>
      <c r="U89" t="s">
        <v>614</v>
      </c>
      <c r="V89" t="s">
        <v>628</v>
      </c>
      <c r="W89">
        <v>631.24</v>
      </c>
      <c r="X89">
        <v>7</v>
      </c>
      <c r="Y89">
        <v>15</v>
      </c>
      <c r="Z89">
        <v>27.48</v>
      </c>
      <c r="AA89">
        <v>257.10000000000002</v>
      </c>
      <c r="AB89" t="s">
        <v>637</v>
      </c>
      <c r="AC89">
        <v>2025</v>
      </c>
      <c r="AD89" t="str">
        <f t="shared" si="34"/>
        <v>Net Banking</v>
      </c>
      <c r="AE89" t="s">
        <v>639</v>
      </c>
      <c r="AF89">
        <f t="shared" si="35"/>
        <v>13</v>
      </c>
      <c r="AG89" s="6">
        <f t="shared" si="36"/>
        <v>10681.503846153848</v>
      </c>
      <c r="AH89">
        <f t="shared" si="37"/>
        <v>67</v>
      </c>
      <c r="AI89">
        <f t="shared" si="38"/>
        <v>13.436153846153847</v>
      </c>
      <c r="AJ89">
        <f t="shared" si="39"/>
        <v>11323.3</v>
      </c>
      <c r="AK89">
        <f t="shared" si="40"/>
        <v>71.12</v>
      </c>
      <c r="AL89">
        <f t="shared" si="41"/>
        <v>0</v>
      </c>
      <c r="AM89">
        <f t="shared" si="42"/>
        <v>28</v>
      </c>
      <c r="AN89">
        <f t="shared" si="43"/>
        <v>4418.68</v>
      </c>
      <c r="AO89">
        <f t="shared" si="44"/>
        <v>662.80200000000013</v>
      </c>
      <c r="AP89">
        <f t="shared" si="45"/>
        <v>3755.8780000000002</v>
      </c>
      <c r="AQ89">
        <f t="shared" si="46"/>
        <v>4012.9780000000001</v>
      </c>
      <c r="AR89">
        <f t="shared" si="47"/>
        <v>1</v>
      </c>
    </row>
    <row r="90" spans="1:44" x14ac:dyDescent="0.3">
      <c r="A90">
        <v>89</v>
      </c>
      <c r="B90" t="s">
        <v>113</v>
      </c>
      <c r="C90" t="str">
        <f>TEXT(Table1[[#This Row],[Order Date]],"dddd")</f>
        <v>Thursday</v>
      </c>
      <c r="D90" t="str">
        <f>TEXT(Table1[[#This Row],[Order Date]],"mmm")</f>
        <v>Nov</v>
      </c>
      <c r="E90" s="5" t="s">
        <v>213</v>
      </c>
      <c r="F90" s="3" t="s">
        <v>299</v>
      </c>
      <c r="G90" t="s">
        <v>311</v>
      </c>
      <c r="H90" t="s">
        <v>401</v>
      </c>
      <c r="I90" t="str">
        <f>PROPER(TRIM(Table1[[#This Row],[Customer Name]]))</f>
        <v>Neha Malhotra</v>
      </c>
      <c r="J90" t="s">
        <v>483</v>
      </c>
      <c r="K90" t="s">
        <v>490</v>
      </c>
      <c r="L90" t="s">
        <v>498</v>
      </c>
      <c r="M90" t="s">
        <v>502</v>
      </c>
      <c r="N90" t="s">
        <v>507</v>
      </c>
      <c r="O90">
        <v>426791</v>
      </c>
      <c r="P90" t="s">
        <v>508</v>
      </c>
      <c r="Q90" t="s">
        <v>512</v>
      </c>
      <c r="R90" t="s">
        <v>602</v>
      </c>
      <c r="S90" t="str">
        <f t="shared" si="32"/>
        <v>TEC</v>
      </c>
      <c r="T90" t="str">
        <f t="shared" si="33"/>
        <v>:PH</v>
      </c>
      <c r="U90" t="s">
        <v>626</v>
      </c>
      <c r="V90" t="s">
        <v>632</v>
      </c>
      <c r="W90">
        <v>1565.71</v>
      </c>
      <c r="X90">
        <v>7</v>
      </c>
      <c r="Y90">
        <v>5</v>
      </c>
      <c r="Z90">
        <v>-3.5</v>
      </c>
      <c r="AA90">
        <v>683.78</v>
      </c>
      <c r="AB90" t="s">
        <v>637</v>
      </c>
      <c r="AC90">
        <v>2025</v>
      </c>
      <c r="AD90" t="str">
        <f t="shared" si="34"/>
        <v>Credit Card</v>
      </c>
      <c r="AE90" t="s">
        <v>645</v>
      </c>
      <c r="AF90">
        <f t="shared" si="35"/>
        <v>12</v>
      </c>
      <c r="AG90" s="6">
        <f t="shared" si="36"/>
        <v>11519.025833333333</v>
      </c>
      <c r="AH90">
        <f t="shared" si="37"/>
        <v>60</v>
      </c>
      <c r="AI90">
        <f t="shared" si="38"/>
        <v>12.265833333333333</v>
      </c>
      <c r="AJ90">
        <f t="shared" si="39"/>
        <v>11323.3</v>
      </c>
      <c r="AK90">
        <f t="shared" si="40"/>
        <v>71.12</v>
      </c>
      <c r="AL90">
        <f t="shared" si="41"/>
        <v>0</v>
      </c>
      <c r="AM90">
        <f t="shared" si="42"/>
        <v>28</v>
      </c>
      <c r="AN90">
        <f t="shared" si="43"/>
        <v>10959.970000000001</v>
      </c>
      <c r="AO90">
        <f t="shared" si="44"/>
        <v>547.99850000000004</v>
      </c>
      <c r="AP90">
        <f t="shared" si="45"/>
        <v>10411.971500000001</v>
      </c>
      <c r="AQ90">
        <f t="shared" si="46"/>
        <v>11095.751500000002</v>
      </c>
      <c r="AR90">
        <f t="shared" si="47"/>
        <v>2</v>
      </c>
    </row>
    <row r="91" spans="1:44" x14ac:dyDescent="0.3">
      <c r="A91">
        <v>90</v>
      </c>
      <c r="B91" t="s">
        <v>114</v>
      </c>
      <c r="C91" t="str">
        <f>TEXT(Table1[[#This Row],[Order Date]],"dddd")</f>
        <v>Monday</v>
      </c>
      <c r="D91" t="str">
        <f>TEXT(Table1[[#This Row],[Order Date]],"mmm")</f>
        <v>Nov</v>
      </c>
      <c r="E91" s="5" t="s">
        <v>214</v>
      </c>
      <c r="F91" s="3" t="s">
        <v>300</v>
      </c>
      <c r="G91" t="s">
        <v>311</v>
      </c>
      <c r="H91" t="s">
        <v>402</v>
      </c>
      <c r="I91" t="str">
        <f>PROPER(TRIM(Table1[[#This Row],[Customer Name]]))</f>
        <v>Diya Reddy</v>
      </c>
      <c r="J91" t="s">
        <v>484</v>
      </c>
      <c r="K91" t="s">
        <v>490</v>
      </c>
      <c r="L91" t="s">
        <v>494</v>
      </c>
      <c r="M91" t="s">
        <v>496</v>
      </c>
      <c r="N91" t="s">
        <v>507</v>
      </c>
      <c r="O91">
        <v>518875</v>
      </c>
      <c r="P91" t="s">
        <v>508</v>
      </c>
      <c r="Q91" t="s">
        <v>513</v>
      </c>
      <c r="R91" t="s">
        <v>603</v>
      </c>
      <c r="S91" t="str">
        <f t="shared" si="32"/>
        <v>FUR</v>
      </c>
      <c r="T91" t="str">
        <f t="shared" si="33"/>
        <v>:CH</v>
      </c>
      <c r="U91" t="s">
        <v>615</v>
      </c>
      <c r="V91" t="s">
        <v>627</v>
      </c>
      <c r="W91">
        <v>7195.68</v>
      </c>
      <c r="X91">
        <v>8</v>
      </c>
      <c r="Y91">
        <v>0</v>
      </c>
      <c r="Z91">
        <v>27.91</v>
      </c>
      <c r="AA91">
        <v>1260.4100000000001</v>
      </c>
      <c r="AB91" t="s">
        <v>637</v>
      </c>
      <c r="AC91">
        <v>2025</v>
      </c>
      <c r="AD91" t="str">
        <f t="shared" si="34"/>
        <v>Gift Cards</v>
      </c>
      <c r="AE91" t="s">
        <v>646</v>
      </c>
      <c r="AF91">
        <f t="shared" si="35"/>
        <v>11</v>
      </c>
      <c r="AG91" s="6">
        <f t="shared" si="36"/>
        <v>12423.872727272728</v>
      </c>
      <c r="AH91">
        <f t="shared" si="37"/>
        <v>53</v>
      </c>
      <c r="AI91">
        <f t="shared" si="38"/>
        <v>13.699090909090909</v>
      </c>
      <c r="AJ91">
        <f t="shared" si="39"/>
        <v>11323.3</v>
      </c>
      <c r="AK91">
        <f t="shared" si="40"/>
        <v>71.12</v>
      </c>
      <c r="AL91">
        <f t="shared" si="41"/>
        <v>0</v>
      </c>
      <c r="AM91">
        <f t="shared" si="42"/>
        <v>28</v>
      </c>
      <c r="AN91">
        <f t="shared" si="43"/>
        <v>57565.440000000002</v>
      </c>
      <c r="AO91">
        <f t="shared" si="44"/>
        <v>0</v>
      </c>
      <c r="AP91">
        <f t="shared" si="45"/>
        <v>57565.440000000002</v>
      </c>
      <c r="AQ91">
        <f t="shared" si="46"/>
        <v>58825.850000000006</v>
      </c>
      <c r="AR91">
        <f t="shared" si="47"/>
        <v>6</v>
      </c>
    </row>
    <row r="92" spans="1:44" x14ac:dyDescent="0.3">
      <c r="A92">
        <v>91</v>
      </c>
      <c r="B92" t="s">
        <v>115</v>
      </c>
      <c r="C92" t="str">
        <f>TEXT(Table1[[#This Row],[Order Date]],"dddd")</f>
        <v>Thursday</v>
      </c>
      <c r="D92" t="str">
        <f>TEXT(Table1[[#This Row],[Order Date]],"mmm")</f>
        <v>Nov</v>
      </c>
      <c r="E92" s="5" t="s">
        <v>215</v>
      </c>
      <c r="F92" s="3" t="s">
        <v>301</v>
      </c>
      <c r="G92" t="s">
        <v>311</v>
      </c>
      <c r="H92" t="s">
        <v>403</v>
      </c>
      <c r="I92" t="str">
        <f>PROPER(TRIM(Table1[[#This Row],[Customer Name]]))</f>
        <v>Krishna Patel</v>
      </c>
      <c r="J92" t="s">
        <v>485</v>
      </c>
      <c r="K92" t="s">
        <v>490</v>
      </c>
      <c r="L92" t="s">
        <v>495</v>
      </c>
      <c r="M92" t="s">
        <v>503</v>
      </c>
      <c r="N92" t="s">
        <v>507</v>
      </c>
      <c r="O92">
        <v>687434</v>
      </c>
      <c r="P92" t="s">
        <v>508</v>
      </c>
      <c r="Q92" t="s">
        <v>509</v>
      </c>
      <c r="R92" t="s">
        <v>604</v>
      </c>
      <c r="S92" t="str">
        <f t="shared" si="32"/>
        <v>TEC</v>
      </c>
      <c r="T92" t="str">
        <f t="shared" si="33"/>
        <v>:MSW</v>
      </c>
      <c r="U92" t="s">
        <v>616</v>
      </c>
      <c r="V92" t="s">
        <v>631</v>
      </c>
      <c r="W92">
        <v>3242.5</v>
      </c>
      <c r="X92">
        <v>1</v>
      </c>
      <c r="Y92">
        <v>20</v>
      </c>
      <c r="Z92">
        <v>-8.77</v>
      </c>
      <c r="AA92">
        <v>246.99</v>
      </c>
      <c r="AB92" t="s">
        <v>637</v>
      </c>
      <c r="AC92">
        <v>2025</v>
      </c>
      <c r="AD92" t="str">
        <f t="shared" si="34"/>
        <v>Credit Card</v>
      </c>
      <c r="AE92" t="s">
        <v>645</v>
      </c>
      <c r="AF92">
        <f t="shared" si="35"/>
        <v>10</v>
      </c>
      <c r="AG92" s="6">
        <f t="shared" si="36"/>
        <v>12946.692000000001</v>
      </c>
      <c r="AH92">
        <f t="shared" si="37"/>
        <v>45</v>
      </c>
      <c r="AI92">
        <f t="shared" si="38"/>
        <v>12.278</v>
      </c>
      <c r="AJ92">
        <f t="shared" si="39"/>
        <v>11323.3</v>
      </c>
      <c r="AK92">
        <f t="shared" si="40"/>
        <v>71.12</v>
      </c>
      <c r="AL92">
        <f t="shared" si="41"/>
        <v>0</v>
      </c>
      <c r="AM92">
        <f t="shared" si="42"/>
        <v>28</v>
      </c>
      <c r="AN92">
        <f t="shared" si="43"/>
        <v>3242.5</v>
      </c>
      <c r="AO92">
        <f t="shared" si="44"/>
        <v>648.5</v>
      </c>
      <c r="AP92">
        <f t="shared" si="45"/>
        <v>2594</v>
      </c>
      <c r="AQ92">
        <f t="shared" si="46"/>
        <v>2840.99</v>
      </c>
      <c r="AR92">
        <f t="shared" si="47"/>
        <v>5</v>
      </c>
    </row>
    <row r="93" spans="1:44" x14ac:dyDescent="0.3">
      <c r="A93">
        <v>92</v>
      </c>
      <c r="B93" t="s">
        <v>116</v>
      </c>
      <c r="C93" t="str">
        <f>TEXT(Table1[[#This Row],[Order Date]],"dddd")</f>
        <v>Monday</v>
      </c>
      <c r="D93" t="str">
        <f>TEXT(Table1[[#This Row],[Order Date]],"mmm")</f>
        <v>Dec</v>
      </c>
      <c r="E93" s="5" t="s">
        <v>216</v>
      </c>
      <c r="F93" s="3" t="s">
        <v>302</v>
      </c>
      <c r="G93" t="s">
        <v>309</v>
      </c>
      <c r="H93" t="s">
        <v>404</v>
      </c>
      <c r="I93" t="str">
        <f>PROPER(TRIM(Table1[[#This Row],[Customer Name]]))</f>
        <v>Aditya Gupta</v>
      </c>
      <c r="J93" t="s">
        <v>449</v>
      </c>
      <c r="K93" t="s">
        <v>490</v>
      </c>
      <c r="L93" t="s">
        <v>495</v>
      </c>
      <c r="M93" t="s">
        <v>506</v>
      </c>
      <c r="N93" t="s">
        <v>507</v>
      </c>
      <c r="O93">
        <v>624787</v>
      </c>
      <c r="P93" t="s">
        <v>508</v>
      </c>
      <c r="Q93" t="s">
        <v>512</v>
      </c>
      <c r="R93" t="s">
        <v>605</v>
      </c>
      <c r="S93" t="str">
        <f t="shared" si="32"/>
        <v>FUR</v>
      </c>
      <c r="T93" t="str">
        <f t="shared" si="33"/>
        <v>:TBL</v>
      </c>
      <c r="U93" t="s">
        <v>617</v>
      </c>
      <c r="V93" t="s">
        <v>629</v>
      </c>
      <c r="W93">
        <v>44784.45</v>
      </c>
      <c r="X93">
        <v>4</v>
      </c>
      <c r="Y93">
        <v>10</v>
      </c>
      <c r="Z93">
        <v>-8.89</v>
      </c>
      <c r="AA93">
        <v>4141.3599999999997</v>
      </c>
      <c r="AB93" t="s">
        <v>637</v>
      </c>
      <c r="AC93">
        <v>2025</v>
      </c>
      <c r="AD93" t="str">
        <f t="shared" si="34"/>
        <v>Net Banking</v>
      </c>
      <c r="AE93" t="s">
        <v>639</v>
      </c>
      <c r="AF93">
        <f t="shared" si="35"/>
        <v>9</v>
      </c>
      <c r="AG93" s="6">
        <f t="shared" si="36"/>
        <v>14024.935555555558</v>
      </c>
      <c r="AH93">
        <f t="shared" si="37"/>
        <v>44</v>
      </c>
      <c r="AI93">
        <f t="shared" si="38"/>
        <v>14.616666666666665</v>
      </c>
      <c r="AJ93">
        <f t="shared" si="39"/>
        <v>11323.3</v>
      </c>
      <c r="AK93">
        <f t="shared" si="40"/>
        <v>71.12</v>
      </c>
      <c r="AL93">
        <f t="shared" si="41"/>
        <v>0</v>
      </c>
      <c r="AM93">
        <f t="shared" si="42"/>
        <v>28</v>
      </c>
      <c r="AN93">
        <f t="shared" si="43"/>
        <v>179137.8</v>
      </c>
      <c r="AO93">
        <f t="shared" si="44"/>
        <v>17913.78</v>
      </c>
      <c r="AP93">
        <f t="shared" si="45"/>
        <v>161224.01999999999</v>
      </c>
      <c r="AQ93">
        <f t="shared" si="46"/>
        <v>165365.37999999998</v>
      </c>
      <c r="AR93">
        <f t="shared" si="47"/>
        <v>6</v>
      </c>
    </row>
    <row r="94" spans="1:44" x14ac:dyDescent="0.3">
      <c r="A94">
        <v>93</v>
      </c>
      <c r="B94" t="s">
        <v>117</v>
      </c>
      <c r="C94" t="str">
        <f>TEXT(Table1[[#This Row],[Order Date]],"dddd")</f>
        <v>Friday</v>
      </c>
      <c r="D94" t="str">
        <f>TEXT(Table1[[#This Row],[Order Date]],"mmm")</f>
        <v>Dec</v>
      </c>
      <c r="E94" s="5" t="s">
        <v>217</v>
      </c>
      <c r="F94" s="3" t="s">
        <v>302</v>
      </c>
      <c r="G94" t="s">
        <v>309</v>
      </c>
      <c r="H94" t="s">
        <v>405</v>
      </c>
      <c r="I94" t="str">
        <f>PROPER(TRIM(Table1[[#This Row],[Customer Name]]))</f>
        <v>Ayaan Mehta</v>
      </c>
      <c r="J94" t="s">
        <v>486</v>
      </c>
      <c r="K94" t="s">
        <v>490</v>
      </c>
      <c r="L94" t="s">
        <v>499</v>
      </c>
      <c r="M94" t="s">
        <v>496</v>
      </c>
      <c r="N94" t="s">
        <v>507</v>
      </c>
      <c r="O94">
        <v>415486</v>
      </c>
      <c r="P94" t="s">
        <v>508</v>
      </c>
      <c r="Q94" t="s">
        <v>510</v>
      </c>
      <c r="R94" t="s">
        <v>606</v>
      </c>
      <c r="S94" t="str">
        <f t="shared" si="32"/>
        <v>TEC</v>
      </c>
      <c r="T94" t="str">
        <f t="shared" si="33"/>
        <v>:PH</v>
      </c>
      <c r="U94" t="s">
        <v>626</v>
      </c>
      <c r="V94" t="s">
        <v>633</v>
      </c>
      <c r="W94">
        <v>19105.580000000002</v>
      </c>
      <c r="X94">
        <v>6</v>
      </c>
      <c r="Y94">
        <v>5</v>
      </c>
      <c r="Z94">
        <v>6.18</v>
      </c>
      <c r="AA94">
        <v>6015.71</v>
      </c>
      <c r="AB94" t="s">
        <v>637</v>
      </c>
      <c r="AC94">
        <v>2025</v>
      </c>
      <c r="AD94" t="str">
        <f t="shared" si="34"/>
        <v>Cash/Cheque</v>
      </c>
      <c r="AE94" t="s">
        <v>649</v>
      </c>
      <c r="AF94">
        <f t="shared" si="35"/>
        <v>8</v>
      </c>
      <c r="AG94" s="6">
        <f t="shared" si="36"/>
        <v>10179.99625</v>
      </c>
      <c r="AH94">
        <f t="shared" si="37"/>
        <v>40</v>
      </c>
      <c r="AI94">
        <f t="shared" si="38"/>
        <v>17.555</v>
      </c>
      <c r="AJ94">
        <f t="shared" si="39"/>
        <v>11323.3</v>
      </c>
      <c r="AK94">
        <f t="shared" si="40"/>
        <v>71.12</v>
      </c>
      <c r="AL94">
        <f t="shared" si="41"/>
        <v>0</v>
      </c>
      <c r="AM94">
        <f t="shared" si="42"/>
        <v>24</v>
      </c>
      <c r="AN94">
        <f t="shared" si="43"/>
        <v>114633.48000000001</v>
      </c>
      <c r="AO94">
        <f t="shared" si="44"/>
        <v>5731.674</v>
      </c>
      <c r="AP94">
        <f t="shared" si="45"/>
        <v>108901.80600000001</v>
      </c>
      <c r="AQ94">
        <f t="shared" si="46"/>
        <v>114917.51600000002</v>
      </c>
      <c r="AR94">
        <f t="shared" si="47"/>
        <v>2</v>
      </c>
    </row>
    <row r="95" spans="1:44" x14ac:dyDescent="0.3">
      <c r="A95">
        <v>94</v>
      </c>
      <c r="B95" t="s">
        <v>118</v>
      </c>
      <c r="C95" t="str">
        <f>TEXT(Table1[[#This Row],[Order Date]],"dddd")</f>
        <v>Monday</v>
      </c>
      <c r="D95" t="str">
        <f>TEXT(Table1[[#This Row],[Order Date]],"mmm")</f>
        <v>Dec</v>
      </c>
      <c r="E95" s="5" t="s">
        <v>218</v>
      </c>
      <c r="F95" s="3" t="s">
        <v>303</v>
      </c>
      <c r="G95" t="s">
        <v>309</v>
      </c>
      <c r="H95" t="s">
        <v>406</v>
      </c>
      <c r="I95" t="str">
        <f>PROPER(TRIM(Table1[[#This Row],[Customer Name]]))</f>
        <v>Vihaan Reddy</v>
      </c>
      <c r="J95" t="s">
        <v>448</v>
      </c>
      <c r="K95" t="s">
        <v>490</v>
      </c>
      <c r="L95" t="s">
        <v>494</v>
      </c>
      <c r="M95" t="s">
        <v>501</v>
      </c>
      <c r="N95" t="s">
        <v>507</v>
      </c>
      <c r="O95">
        <v>706627</v>
      </c>
      <c r="P95" t="s">
        <v>508</v>
      </c>
      <c r="Q95" t="s">
        <v>513</v>
      </c>
      <c r="R95" t="s">
        <v>607</v>
      </c>
      <c r="S95" t="str">
        <f t="shared" si="32"/>
        <v>TEC</v>
      </c>
      <c r="T95" t="str">
        <f t="shared" si="33"/>
        <v>:MON</v>
      </c>
      <c r="U95" t="s">
        <v>614</v>
      </c>
      <c r="V95" t="s">
        <v>633</v>
      </c>
      <c r="W95">
        <v>20116.27</v>
      </c>
      <c r="X95">
        <v>9</v>
      </c>
      <c r="Y95">
        <v>10</v>
      </c>
      <c r="Z95">
        <v>14.43</v>
      </c>
      <c r="AA95">
        <v>11323.3</v>
      </c>
      <c r="AB95" t="s">
        <v>635</v>
      </c>
      <c r="AC95">
        <v>2025</v>
      </c>
      <c r="AD95" t="str">
        <f t="shared" si="34"/>
        <v>Gift Cards</v>
      </c>
      <c r="AE95" t="s">
        <v>646</v>
      </c>
      <c r="AF95">
        <f t="shared" si="35"/>
        <v>7</v>
      </c>
      <c r="AG95" s="6">
        <f t="shared" si="36"/>
        <v>8904.9128571428573</v>
      </c>
      <c r="AH95">
        <f t="shared" si="37"/>
        <v>34</v>
      </c>
      <c r="AI95">
        <f t="shared" si="38"/>
        <v>19.18</v>
      </c>
      <c r="AJ95">
        <f t="shared" si="39"/>
        <v>11323.3</v>
      </c>
      <c r="AK95">
        <f t="shared" si="40"/>
        <v>71.12</v>
      </c>
      <c r="AL95">
        <f t="shared" si="41"/>
        <v>0</v>
      </c>
      <c r="AM95">
        <f t="shared" si="42"/>
        <v>18</v>
      </c>
      <c r="AN95">
        <f t="shared" si="43"/>
        <v>181046.43</v>
      </c>
      <c r="AO95">
        <f t="shared" si="44"/>
        <v>18104.642999999996</v>
      </c>
      <c r="AP95">
        <f t="shared" si="45"/>
        <v>162941.78700000001</v>
      </c>
      <c r="AQ95">
        <f t="shared" si="46"/>
        <v>174265.087</v>
      </c>
      <c r="AR95">
        <f t="shared" si="47"/>
        <v>2</v>
      </c>
    </row>
    <row r="96" spans="1:44" x14ac:dyDescent="0.3">
      <c r="A96">
        <v>95</v>
      </c>
      <c r="B96" t="s">
        <v>119</v>
      </c>
      <c r="C96" t="str">
        <f>TEXT(Table1[[#This Row],[Order Date]],"dddd")</f>
        <v>Friday</v>
      </c>
      <c r="D96" t="str">
        <f>TEXT(Table1[[#This Row],[Order Date]],"mmm")</f>
        <v>Dec</v>
      </c>
      <c r="E96" s="5" t="s">
        <v>219</v>
      </c>
      <c r="F96" s="3" t="s">
        <v>304</v>
      </c>
      <c r="G96" t="s">
        <v>309</v>
      </c>
      <c r="H96" t="s">
        <v>407</v>
      </c>
      <c r="I96" t="str">
        <f>PROPER(TRIM(Table1[[#This Row],[Customer Name]]))</f>
        <v>Sai Verma</v>
      </c>
      <c r="J96" t="s">
        <v>487</v>
      </c>
      <c r="K96" t="s">
        <v>492</v>
      </c>
      <c r="L96" t="s">
        <v>497</v>
      </c>
      <c r="M96" t="s">
        <v>506</v>
      </c>
      <c r="N96" t="s">
        <v>507</v>
      </c>
      <c r="O96">
        <v>486189</v>
      </c>
      <c r="P96" t="s">
        <v>508</v>
      </c>
      <c r="Q96" t="s">
        <v>509</v>
      </c>
      <c r="R96" t="s">
        <v>608</v>
      </c>
      <c r="S96" t="str">
        <f t="shared" si="32"/>
        <v>FUR</v>
      </c>
      <c r="T96" t="str">
        <f t="shared" si="33"/>
        <v>:CH</v>
      </c>
      <c r="U96" t="s">
        <v>615</v>
      </c>
      <c r="V96" t="s">
        <v>631</v>
      </c>
      <c r="W96">
        <v>3348.85</v>
      </c>
      <c r="X96">
        <v>2</v>
      </c>
      <c r="Y96">
        <v>5</v>
      </c>
      <c r="Z96">
        <v>28.52</v>
      </c>
      <c r="AA96">
        <v>483.96</v>
      </c>
      <c r="AB96" t="s">
        <v>636</v>
      </c>
      <c r="AC96">
        <v>2025</v>
      </c>
      <c r="AD96" t="str">
        <f t="shared" si="34"/>
        <v>Credit Card</v>
      </c>
      <c r="AE96" t="s">
        <v>645</v>
      </c>
      <c r="AF96">
        <f t="shared" si="35"/>
        <v>6</v>
      </c>
      <c r="AG96" s="6">
        <f t="shared" si="36"/>
        <v>7036.3533333333326</v>
      </c>
      <c r="AH96">
        <f t="shared" si="37"/>
        <v>25</v>
      </c>
      <c r="AI96">
        <f t="shared" si="38"/>
        <v>19.971666666666668</v>
      </c>
      <c r="AJ96">
        <f t="shared" si="39"/>
        <v>5896.76</v>
      </c>
      <c r="AK96">
        <f t="shared" si="40"/>
        <v>71.12</v>
      </c>
      <c r="AL96">
        <f t="shared" si="41"/>
        <v>0</v>
      </c>
      <c r="AM96">
        <f t="shared" si="42"/>
        <v>9</v>
      </c>
      <c r="AN96">
        <f t="shared" si="43"/>
        <v>6697.7</v>
      </c>
      <c r="AO96">
        <f t="shared" si="44"/>
        <v>334.88499999999999</v>
      </c>
      <c r="AP96">
        <f t="shared" si="45"/>
        <v>6362.8149999999996</v>
      </c>
      <c r="AQ96">
        <f t="shared" si="46"/>
        <v>6846.7749999999996</v>
      </c>
      <c r="AR96">
        <f t="shared" si="47"/>
        <v>6</v>
      </c>
    </row>
    <row r="97" spans="1:44" x14ac:dyDescent="0.3">
      <c r="A97">
        <v>96</v>
      </c>
      <c r="B97" t="s">
        <v>120</v>
      </c>
      <c r="C97" t="str">
        <f>TEXT(Table1[[#This Row],[Order Date]],"dddd")</f>
        <v>Tuesday</v>
      </c>
      <c r="D97" t="str">
        <f>TEXT(Table1[[#This Row],[Order Date]],"mmm")</f>
        <v>Dec</v>
      </c>
      <c r="E97" s="5" t="s">
        <v>220</v>
      </c>
      <c r="F97" s="3" t="s">
        <v>305</v>
      </c>
      <c r="G97" t="s">
        <v>310</v>
      </c>
      <c r="H97" t="s">
        <v>408</v>
      </c>
      <c r="I97" t="str">
        <f>PROPER(TRIM(Table1[[#This Row],[Customer Name]]))</f>
        <v>Pooja Malhotra</v>
      </c>
      <c r="J97" t="s">
        <v>488</v>
      </c>
      <c r="K97" t="s">
        <v>490</v>
      </c>
      <c r="L97" t="s">
        <v>497</v>
      </c>
      <c r="M97" t="s">
        <v>503</v>
      </c>
      <c r="N97" t="s">
        <v>507</v>
      </c>
      <c r="O97">
        <v>404749</v>
      </c>
      <c r="P97" t="s">
        <v>508</v>
      </c>
      <c r="Q97" t="s">
        <v>513</v>
      </c>
      <c r="R97" t="s">
        <v>609</v>
      </c>
      <c r="S97" t="str">
        <f t="shared" si="32"/>
        <v>OFF</v>
      </c>
      <c r="T97" t="str">
        <f t="shared" si="33"/>
        <v>:ART</v>
      </c>
      <c r="U97" t="s">
        <v>623</v>
      </c>
      <c r="V97" t="s">
        <v>630</v>
      </c>
      <c r="W97">
        <v>1131.5899999999999</v>
      </c>
      <c r="X97">
        <v>1</v>
      </c>
      <c r="Y97">
        <v>5</v>
      </c>
      <c r="Z97">
        <v>24.16</v>
      </c>
      <c r="AA97">
        <v>71.12</v>
      </c>
      <c r="AB97" t="s">
        <v>638</v>
      </c>
      <c r="AC97">
        <v>2025</v>
      </c>
      <c r="AD97" t="str">
        <f t="shared" si="34"/>
        <v>Debit Card</v>
      </c>
      <c r="AE97" t="s">
        <v>647</v>
      </c>
      <c r="AF97">
        <f t="shared" si="35"/>
        <v>5</v>
      </c>
      <c r="AG97" s="6">
        <f t="shared" si="36"/>
        <v>7773.8539999999994</v>
      </c>
      <c r="AH97">
        <f t="shared" si="37"/>
        <v>23</v>
      </c>
      <c r="AI97">
        <f t="shared" si="38"/>
        <v>18.262</v>
      </c>
      <c r="AJ97">
        <f t="shared" si="39"/>
        <v>5896.76</v>
      </c>
      <c r="AK97">
        <f t="shared" si="40"/>
        <v>71.12</v>
      </c>
      <c r="AL97">
        <f t="shared" si="41"/>
        <v>0</v>
      </c>
      <c r="AM97">
        <f t="shared" si="42"/>
        <v>9</v>
      </c>
      <c r="AN97">
        <f t="shared" si="43"/>
        <v>1131.5899999999999</v>
      </c>
      <c r="AO97">
        <f t="shared" si="44"/>
        <v>56.579499999999996</v>
      </c>
      <c r="AP97">
        <f t="shared" si="45"/>
        <v>1075.0104999999999</v>
      </c>
      <c r="AQ97">
        <f t="shared" si="46"/>
        <v>1146.1304999999998</v>
      </c>
      <c r="AR97">
        <f t="shared" si="47"/>
        <v>1</v>
      </c>
    </row>
    <row r="98" spans="1:44" x14ac:dyDescent="0.3">
      <c r="A98">
        <v>97</v>
      </c>
      <c r="B98" t="s">
        <v>121</v>
      </c>
      <c r="C98" t="str">
        <f>TEXT(Table1[[#This Row],[Order Date]],"dddd")</f>
        <v>Friday</v>
      </c>
      <c r="D98" t="str">
        <f>TEXT(Table1[[#This Row],[Order Date]],"mmm")</f>
        <v>Dec</v>
      </c>
      <c r="E98" s="5" t="s">
        <v>221</v>
      </c>
      <c r="F98" s="3" t="s">
        <v>222</v>
      </c>
      <c r="G98" t="s">
        <v>310</v>
      </c>
      <c r="H98" t="s">
        <v>409</v>
      </c>
      <c r="I98" t="str">
        <f>PROPER(TRIM(Table1[[#This Row],[Customer Name]]))</f>
        <v>Priya Jain</v>
      </c>
      <c r="J98" t="s">
        <v>475</v>
      </c>
      <c r="K98" t="s">
        <v>492</v>
      </c>
      <c r="L98" t="s">
        <v>493</v>
      </c>
      <c r="M98" t="s">
        <v>505</v>
      </c>
      <c r="N98" t="s">
        <v>507</v>
      </c>
      <c r="O98">
        <v>617842</v>
      </c>
      <c r="P98" t="s">
        <v>508</v>
      </c>
      <c r="Q98" t="s">
        <v>510</v>
      </c>
      <c r="R98" t="s">
        <v>610</v>
      </c>
      <c r="S98" t="str">
        <f t="shared" ref="S98:S101" si="48">LEFT(U98,3)</f>
        <v>TEC</v>
      </c>
      <c r="T98" t="str">
        <f t="shared" ref="T98:T101" si="49">RIGHT(U98,LEN(U98)-4)</f>
        <v>:MON</v>
      </c>
      <c r="U98" t="s">
        <v>614</v>
      </c>
      <c r="V98" t="s">
        <v>627</v>
      </c>
      <c r="W98">
        <v>6796.77</v>
      </c>
      <c r="X98">
        <v>10</v>
      </c>
      <c r="Y98">
        <v>25</v>
      </c>
      <c r="Z98">
        <v>12.3</v>
      </c>
      <c r="AA98">
        <v>4628.8500000000004</v>
      </c>
      <c r="AB98" t="s">
        <v>637</v>
      </c>
      <c r="AC98">
        <v>2025</v>
      </c>
      <c r="AD98" t="str">
        <f t="shared" ref="AD98:AD101" si="50">IF(LOWER(TRIM(AE98))="upi","UPI",IF(LOWER(TRIM(AE98))="debit card","Debit Card",IF(LOWER(TRIM(AE98))="cash","Cash/Cheque",TRIM(AE98))))</f>
        <v>Debit Card</v>
      </c>
      <c r="AE98" t="s">
        <v>647</v>
      </c>
      <c r="AF98">
        <f t="shared" ref="AF98:AF101" si="51">COUNTA(B98:B198)</f>
        <v>4</v>
      </c>
      <c r="AG98" s="6">
        <f t="shared" ref="AG98:AG101" si="52">AVERAGE(W98:W198)</f>
        <v>9434.42</v>
      </c>
      <c r="AH98">
        <f t="shared" ref="AH98:AH101" si="53">SUM(X98:X198)</f>
        <v>22</v>
      </c>
      <c r="AI98">
        <f t="shared" ref="AI98:AI101" si="54">AVERAGE(Z98:Z198)</f>
        <v>16.787500000000001</v>
      </c>
      <c r="AJ98">
        <f t="shared" ref="AJ98:AJ101" si="55">MAX(AA98:AA198)</f>
        <v>5896.76</v>
      </c>
      <c r="AK98">
        <f t="shared" ref="AK98:AK101" si="56">MIN(AA98:AA198)</f>
        <v>81.290000000000006</v>
      </c>
      <c r="AL98">
        <f t="shared" ref="AL98:AL101" si="57">COUNTIF(AD98:AD198,"UPI")</f>
        <v>0</v>
      </c>
      <c r="AM98">
        <f t="shared" ref="AM98:AM101" si="58">SUMIF(W98:W198,"&gt;10000",X98:X198)</f>
        <v>9</v>
      </c>
      <c r="AN98">
        <f t="shared" si="43"/>
        <v>67967.700000000012</v>
      </c>
      <c r="AO98">
        <f t="shared" ref="AO98:AO101" si="59">AN98*Y98/100</f>
        <v>16991.925000000003</v>
      </c>
      <c r="AP98">
        <f t="shared" ref="AP98:AP101" si="60">AN98-AO98</f>
        <v>50975.775000000009</v>
      </c>
      <c r="AQ98">
        <f t="shared" ref="AQ98:AQ101" si="61">AP98+AA98</f>
        <v>55604.625000000007</v>
      </c>
      <c r="AR98">
        <f t="shared" si="47"/>
        <v>4</v>
      </c>
    </row>
    <row r="99" spans="1:44" x14ac:dyDescent="0.3">
      <c r="A99">
        <v>98</v>
      </c>
      <c r="B99" t="s">
        <v>122</v>
      </c>
      <c r="C99" t="str">
        <f>TEXT(Table1[[#This Row],[Order Date]],"dddd")</f>
        <v>Tuesday</v>
      </c>
      <c r="D99" t="str">
        <f>TEXT(Table1[[#This Row],[Order Date]],"mmm")</f>
        <v>Dec</v>
      </c>
      <c r="E99" s="5" t="s">
        <v>222</v>
      </c>
      <c r="F99" s="3" t="s">
        <v>306</v>
      </c>
      <c r="G99" t="s">
        <v>312</v>
      </c>
      <c r="H99" t="s">
        <v>410</v>
      </c>
      <c r="I99" t="str">
        <f>PROPER(TRIM(Table1[[#This Row],[Customer Name]]))</f>
        <v>Rohan Reddy</v>
      </c>
      <c r="J99" t="s">
        <v>489</v>
      </c>
      <c r="K99" t="s">
        <v>491</v>
      </c>
      <c r="L99" t="s">
        <v>495</v>
      </c>
      <c r="M99" t="s">
        <v>502</v>
      </c>
      <c r="N99" t="s">
        <v>507</v>
      </c>
      <c r="O99">
        <v>540508</v>
      </c>
      <c r="P99" t="s">
        <v>508</v>
      </c>
      <c r="Q99" t="s">
        <v>509</v>
      </c>
      <c r="R99" t="s">
        <v>611</v>
      </c>
      <c r="S99" t="str">
        <f t="shared" si="48"/>
        <v>TEC</v>
      </c>
      <c r="T99" t="str">
        <f t="shared" si="49"/>
        <v>:MSW</v>
      </c>
      <c r="U99" t="s">
        <v>616</v>
      </c>
      <c r="V99" t="s">
        <v>633</v>
      </c>
      <c r="W99">
        <v>17620.38</v>
      </c>
      <c r="X99">
        <v>2</v>
      </c>
      <c r="Y99">
        <v>0</v>
      </c>
      <c r="Z99">
        <v>3.68</v>
      </c>
      <c r="AA99">
        <v>1422.56</v>
      </c>
      <c r="AB99" t="s">
        <v>638</v>
      </c>
      <c r="AC99">
        <v>2025</v>
      </c>
      <c r="AD99" t="str">
        <f t="shared" si="50"/>
        <v>Credit Card</v>
      </c>
      <c r="AE99" t="s">
        <v>645</v>
      </c>
      <c r="AF99">
        <f t="shared" si="51"/>
        <v>3</v>
      </c>
      <c r="AG99" s="6">
        <f t="shared" si="52"/>
        <v>10313.636666666667</v>
      </c>
      <c r="AH99">
        <f t="shared" si="53"/>
        <v>12</v>
      </c>
      <c r="AI99">
        <f t="shared" si="54"/>
        <v>18.283333333333335</v>
      </c>
      <c r="AJ99">
        <f t="shared" si="55"/>
        <v>5896.76</v>
      </c>
      <c r="AK99">
        <f t="shared" si="56"/>
        <v>81.290000000000006</v>
      </c>
      <c r="AL99">
        <f t="shared" si="57"/>
        <v>0</v>
      </c>
      <c r="AM99">
        <f t="shared" si="58"/>
        <v>9</v>
      </c>
      <c r="AN99">
        <f t="shared" si="43"/>
        <v>35240.76</v>
      </c>
      <c r="AO99">
        <f t="shared" si="59"/>
        <v>0</v>
      </c>
      <c r="AP99">
        <f t="shared" si="60"/>
        <v>35240.76</v>
      </c>
      <c r="AQ99">
        <f t="shared" si="61"/>
        <v>36663.32</v>
      </c>
      <c r="AR99">
        <f t="shared" si="47"/>
        <v>2</v>
      </c>
    </row>
    <row r="100" spans="1:44" x14ac:dyDescent="0.3">
      <c r="A100">
        <v>99</v>
      </c>
      <c r="B100" t="s">
        <v>123</v>
      </c>
      <c r="C100" t="str">
        <f>TEXT(Table1[[#This Row],[Order Date]],"dddd")</f>
        <v>Saturday</v>
      </c>
      <c r="D100" t="str">
        <f>TEXT(Table1[[#This Row],[Order Date]],"mmm")</f>
        <v>Dec</v>
      </c>
      <c r="E100" s="5" t="s">
        <v>223</v>
      </c>
      <c r="F100" s="3" t="s">
        <v>307</v>
      </c>
      <c r="G100" t="s">
        <v>309</v>
      </c>
      <c r="H100" t="s">
        <v>411</v>
      </c>
      <c r="I100" t="str">
        <f>PROPER(TRIM(Table1[[#This Row],[Customer Name]]))</f>
        <v>Sai Gupta</v>
      </c>
      <c r="J100" t="s">
        <v>467</v>
      </c>
      <c r="K100" t="s">
        <v>490</v>
      </c>
      <c r="L100" t="s">
        <v>496</v>
      </c>
      <c r="M100" t="s">
        <v>496</v>
      </c>
      <c r="N100" t="s">
        <v>507</v>
      </c>
      <c r="O100">
        <v>665854</v>
      </c>
      <c r="P100" t="s">
        <v>508</v>
      </c>
      <c r="Q100" t="s">
        <v>513</v>
      </c>
      <c r="R100" t="s">
        <v>612</v>
      </c>
      <c r="S100" t="str">
        <f t="shared" si="48"/>
        <v>TEC</v>
      </c>
      <c r="T100" t="str">
        <f t="shared" si="49"/>
        <v>:MON</v>
      </c>
      <c r="U100" t="s">
        <v>614</v>
      </c>
      <c r="V100" t="s">
        <v>634</v>
      </c>
      <c r="W100">
        <v>12228.19</v>
      </c>
      <c r="X100">
        <v>7</v>
      </c>
      <c r="Y100">
        <v>10</v>
      </c>
      <c r="Z100">
        <v>39.86</v>
      </c>
      <c r="AA100">
        <v>5896.76</v>
      </c>
      <c r="AB100" t="s">
        <v>635</v>
      </c>
      <c r="AC100">
        <v>2025</v>
      </c>
      <c r="AD100" t="str">
        <f t="shared" si="50"/>
        <v>Cash/Cheque</v>
      </c>
      <c r="AE100" t="s">
        <v>649</v>
      </c>
      <c r="AF100">
        <f t="shared" si="51"/>
        <v>2</v>
      </c>
      <c r="AG100" s="6">
        <f t="shared" si="52"/>
        <v>6660.2650000000003</v>
      </c>
      <c r="AH100">
        <f t="shared" si="53"/>
        <v>10</v>
      </c>
      <c r="AI100">
        <f t="shared" si="54"/>
        <v>25.585000000000001</v>
      </c>
      <c r="AJ100">
        <f t="shared" si="55"/>
        <v>5896.76</v>
      </c>
      <c r="AK100">
        <f t="shared" si="56"/>
        <v>81.290000000000006</v>
      </c>
      <c r="AL100">
        <f t="shared" si="57"/>
        <v>0</v>
      </c>
      <c r="AM100">
        <f t="shared" si="58"/>
        <v>7</v>
      </c>
      <c r="AN100">
        <f t="shared" si="43"/>
        <v>85597.33</v>
      </c>
      <c r="AO100">
        <f t="shared" si="59"/>
        <v>8559.7330000000002</v>
      </c>
      <c r="AP100">
        <f t="shared" si="60"/>
        <v>77037.597000000009</v>
      </c>
      <c r="AQ100">
        <f t="shared" si="61"/>
        <v>82934.357000000004</v>
      </c>
      <c r="AR100">
        <f t="shared" si="47"/>
        <v>6</v>
      </c>
    </row>
    <row r="101" spans="1:44" x14ac:dyDescent="0.3">
      <c r="A101">
        <v>100</v>
      </c>
      <c r="B101" t="s">
        <v>124</v>
      </c>
      <c r="C101" t="str">
        <f>TEXT(Table1[[#This Row],[Order Date]],"dddd")</f>
        <v>Wednesday</v>
      </c>
      <c r="D101" t="str">
        <f>TEXT(Table1[[#This Row],[Order Date]],"mmm")</f>
        <v>Dec</v>
      </c>
      <c r="E101" s="5" t="s">
        <v>224</v>
      </c>
      <c r="F101" s="3" t="s">
        <v>308</v>
      </c>
      <c r="G101" t="s">
        <v>310</v>
      </c>
      <c r="H101" t="s">
        <v>412</v>
      </c>
      <c r="I101" t="str">
        <f>PROPER(TRIM(Table1[[#This Row],[Customer Name]]))</f>
        <v>Vivaan Reddy</v>
      </c>
      <c r="J101" t="s">
        <v>476</v>
      </c>
      <c r="K101" t="s">
        <v>491</v>
      </c>
      <c r="L101" t="s">
        <v>493</v>
      </c>
      <c r="M101" t="s">
        <v>503</v>
      </c>
      <c r="N101" t="s">
        <v>507</v>
      </c>
      <c r="O101">
        <v>523962</v>
      </c>
      <c r="P101" t="s">
        <v>508</v>
      </c>
      <c r="Q101" t="s">
        <v>511</v>
      </c>
      <c r="R101" t="s">
        <v>613</v>
      </c>
      <c r="S101" t="str">
        <f t="shared" si="48"/>
        <v>FUR</v>
      </c>
      <c r="T101" t="str">
        <f t="shared" si="49"/>
        <v>:CH</v>
      </c>
      <c r="U101" t="s">
        <v>615</v>
      </c>
      <c r="V101" t="s">
        <v>630</v>
      </c>
      <c r="W101">
        <v>1092.3399999999999</v>
      </c>
      <c r="X101">
        <v>3</v>
      </c>
      <c r="Y101">
        <v>10</v>
      </c>
      <c r="Z101">
        <v>11.31</v>
      </c>
      <c r="AA101">
        <v>81.290000000000006</v>
      </c>
      <c r="AB101" t="s">
        <v>637</v>
      </c>
      <c r="AC101">
        <v>2025</v>
      </c>
      <c r="AD101" t="str">
        <f t="shared" si="50"/>
        <v>Mobile Wallets</v>
      </c>
      <c r="AE101" t="s">
        <v>650</v>
      </c>
      <c r="AF101">
        <f t="shared" si="51"/>
        <v>1</v>
      </c>
      <c r="AG101" s="6">
        <f t="shared" si="52"/>
        <v>1092.3399999999999</v>
      </c>
      <c r="AH101">
        <f t="shared" si="53"/>
        <v>3</v>
      </c>
      <c r="AI101">
        <f t="shared" si="54"/>
        <v>11.31</v>
      </c>
      <c r="AJ101">
        <f t="shared" si="55"/>
        <v>81.290000000000006</v>
      </c>
      <c r="AK101">
        <f t="shared" si="56"/>
        <v>81.290000000000006</v>
      </c>
      <c r="AL101">
        <f t="shared" si="57"/>
        <v>0</v>
      </c>
      <c r="AM101">
        <f t="shared" si="58"/>
        <v>0</v>
      </c>
      <c r="AN101">
        <f t="shared" si="43"/>
        <v>3277.0199999999995</v>
      </c>
      <c r="AO101">
        <f t="shared" si="59"/>
        <v>327.702</v>
      </c>
      <c r="AP101">
        <f t="shared" si="60"/>
        <v>2949.3179999999993</v>
      </c>
      <c r="AQ101">
        <f t="shared" si="61"/>
        <v>3030.6079999999993</v>
      </c>
      <c r="AR101">
        <f t="shared" si="47"/>
        <v>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E4A25D-5A9C-47DA-9411-365107E61D28}">
  <dimension ref="A1:L101"/>
  <sheetViews>
    <sheetView workbookViewId="0">
      <selection activeCell="H11" sqref="H11"/>
    </sheetView>
  </sheetViews>
  <sheetFormatPr defaultRowHeight="14.4" x14ac:dyDescent="0.3"/>
  <sheetData>
    <row r="1" spans="1:12" x14ac:dyDescent="0.3">
      <c r="A1" t="s">
        <v>656</v>
      </c>
      <c r="E1" t="s">
        <v>664</v>
      </c>
      <c r="G1" t="s">
        <v>665</v>
      </c>
      <c r="J1" t="s">
        <v>666</v>
      </c>
      <c r="L1" t="s">
        <v>667</v>
      </c>
    </row>
    <row r="2" spans="1:12" x14ac:dyDescent="0.3">
      <c r="A2">
        <f>COUNTA(#REF!)</f>
        <v>1</v>
      </c>
      <c r="E2" cm="1">
        <f t="array" ref="E2:E101">Table1[Unit_Price]*Table1[Quantity]</f>
        <v>74697.040000000008</v>
      </c>
      <c r="G2" s="7" cm="1">
        <f t="array" ref="G2">SUMPRODUCT(Table1[Unit_Price],Table1[Quantity],Table1[Discount_Percentage]/100)</f>
        <v>1008165.2750000001</v>
      </c>
      <c r="J2" s="7" t="e" cm="1">
        <f t="array" ref="J2">SUMPRODUCT(#REF!,#REF!)-SUMPRODUCT(#REF!,#REF!,#REF!/100)</f>
        <v>#REF!</v>
      </c>
      <c r="L2" t="e" cm="1">
        <f t="array" ref="L2">SUMPRODUCT(#REF!,#REF!)-SUMPRODUCT(#REF!,#REF!,#REF!/100)/SUM(#REF!)</f>
        <v>#REF!</v>
      </c>
    </row>
    <row r="3" spans="1:12" x14ac:dyDescent="0.3">
      <c r="E3">
        <v>6752.46</v>
      </c>
      <c r="G3" s="6"/>
    </row>
    <row r="4" spans="1:12" x14ac:dyDescent="0.3">
      <c r="E4">
        <v>85159.34</v>
      </c>
    </row>
    <row r="5" spans="1:12" x14ac:dyDescent="0.3">
      <c r="A5" t="s">
        <v>657</v>
      </c>
      <c r="E5">
        <v>11171.25</v>
      </c>
      <c r="J5" s="6"/>
    </row>
    <row r="6" spans="1:12" x14ac:dyDescent="0.3">
      <c r="A6" t="e">
        <f>AVERAGE(#REF!)</f>
        <v>#REF!</v>
      </c>
      <c r="E6">
        <v>5875.5999999999995</v>
      </c>
    </row>
    <row r="7" spans="1:12" x14ac:dyDescent="0.3">
      <c r="E7">
        <v>1197.06</v>
      </c>
    </row>
    <row r="8" spans="1:12" x14ac:dyDescent="0.3">
      <c r="A8" t="s">
        <v>658</v>
      </c>
      <c r="E8">
        <v>16959.75</v>
      </c>
    </row>
    <row r="9" spans="1:12" x14ac:dyDescent="0.3">
      <c r="A9" t="e">
        <f>SUM(#REF!)</f>
        <v>#REF!</v>
      </c>
      <c r="E9">
        <v>5473.89</v>
      </c>
    </row>
    <row r="10" spans="1:12" x14ac:dyDescent="0.3">
      <c r="E10">
        <v>6028.74</v>
      </c>
    </row>
    <row r="11" spans="1:12" x14ac:dyDescent="0.3">
      <c r="A11" t="s">
        <v>659</v>
      </c>
      <c r="E11">
        <v>11371.6</v>
      </c>
    </row>
    <row r="12" spans="1:12" x14ac:dyDescent="0.3">
      <c r="A12" t="e">
        <f>AVERAGE(#REF!)</f>
        <v>#REF!</v>
      </c>
      <c r="E12">
        <v>1103.8699999999999</v>
      </c>
    </row>
    <row r="13" spans="1:12" x14ac:dyDescent="0.3">
      <c r="E13">
        <v>42688.55</v>
      </c>
    </row>
    <row r="14" spans="1:12" x14ac:dyDescent="0.3">
      <c r="A14" t="s">
        <v>660</v>
      </c>
      <c r="E14">
        <v>173901.51</v>
      </c>
    </row>
    <row r="15" spans="1:12" x14ac:dyDescent="0.3">
      <c r="A15" t="e">
        <f>MAX(#REF!)</f>
        <v>#REF!</v>
      </c>
      <c r="E15">
        <v>37704.15</v>
      </c>
    </row>
    <row r="16" spans="1:12" x14ac:dyDescent="0.3">
      <c r="E16">
        <v>12792.56</v>
      </c>
    </row>
    <row r="17" spans="1:5" x14ac:dyDescent="0.3">
      <c r="A17" t="s">
        <v>661</v>
      </c>
      <c r="E17">
        <v>117532.4</v>
      </c>
    </row>
    <row r="18" spans="1:5" x14ac:dyDescent="0.3">
      <c r="A18" t="e">
        <f>MIN(#REF!)</f>
        <v>#REF!</v>
      </c>
      <c r="E18">
        <v>11163.06</v>
      </c>
    </row>
    <row r="19" spans="1:5" x14ac:dyDescent="0.3">
      <c r="E19">
        <v>296414.02</v>
      </c>
    </row>
    <row r="20" spans="1:5" x14ac:dyDescent="0.3">
      <c r="E20">
        <v>129414.99</v>
      </c>
    </row>
    <row r="21" spans="1:5" x14ac:dyDescent="0.3">
      <c r="A21" t="s">
        <v>662</v>
      </c>
      <c r="E21">
        <v>38853.629999999997</v>
      </c>
    </row>
    <row r="22" spans="1:5" x14ac:dyDescent="0.3">
      <c r="A22" t="e">
        <f>COUNTIF(#REF!,"UPI")</f>
        <v>#REF!</v>
      </c>
      <c r="E22">
        <v>33396.22</v>
      </c>
    </row>
    <row r="23" spans="1:5" x14ac:dyDescent="0.3">
      <c r="E23">
        <v>2980.6</v>
      </c>
    </row>
    <row r="24" spans="1:5" x14ac:dyDescent="0.3">
      <c r="A24" t="s">
        <v>663</v>
      </c>
      <c r="E24">
        <v>4237.1099999999997</v>
      </c>
    </row>
    <row r="25" spans="1:5" x14ac:dyDescent="0.3">
      <c r="A25">
        <f>SUMIF(Table1[Unit_Price],"&gt;10000",Table1[Quantity])</f>
        <v>219</v>
      </c>
      <c r="E25">
        <v>40738.800000000003</v>
      </c>
    </row>
    <row r="26" spans="1:5" x14ac:dyDescent="0.3">
      <c r="E26">
        <v>5992.24</v>
      </c>
    </row>
    <row r="27" spans="1:5" x14ac:dyDescent="0.3">
      <c r="E27">
        <v>22873.68</v>
      </c>
    </row>
    <row r="28" spans="1:5" x14ac:dyDescent="0.3">
      <c r="E28">
        <v>59057.1</v>
      </c>
    </row>
    <row r="29" spans="1:5" x14ac:dyDescent="0.3">
      <c r="E29">
        <v>533874.55000000005</v>
      </c>
    </row>
    <row r="30" spans="1:5" x14ac:dyDescent="0.3">
      <c r="E30">
        <v>216419.94</v>
      </c>
    </row>
    <row r="31" spans="1:5" x14ac:dyDescent="0.3">
      <c r="E31">
        <v>43576.36</v>
      </c>
    </row>
    <row r="32" spans="1:5" x14ac:dyDescent="0.3">
      <c r="E32">
        <v>3046.03</v>
      </c>
    </row>
    <row r="33" spans="5:5" x14ac:dyDescent="0.3">
      <c r="E33">
        <v>439172.30000000005</v>
      </c>
    </row>
    <row r="34" spans="5:5" x14ac:dyDescent="0.3">
      <c r="E34">
        <v>412313.85000000003</v>
      </c>
    </row>
    <row r="35" spans="5:5" x14ac:dyDescent="0.3">
      <c r="E35">
        <v>21360.92</v>
      </c>
    </row>
    <row r="36" spans="5:5" x14ac:dyDescent="0.3">
      <c r="E36">
        <v>1537.24</v>
      </c>
    </row>
    <row r="37" spans="5:5" x14ac:dyDescent="0.3">
      <c r="E37">
        <v>11782.56</v>
      </c>
    </row>
    <row r="38" spans="5:5" x14ac:dyDescent="0.3">
      <c r="E38">
        <v>9699.93</v>
      </c>
    </row>
    <row r="39" spans="5:5" x14ac:dyDescent="0.3">
      <c r="E39">
        <v>146109.35999999999</v>
      </c>
    </row>
    <row r="40" spans="5:5" x14ac:dyDescent="0.3">
      <c r="E40">
        <v>57533.599999999999</v>
      </c>
    </row>
    <row r="41" spans="5:5" x14ac:dyDescent="0.3">
      <c r="E41">
        <v>1307.6300000000001</v>
      </c>
    </row>
    <row r="42" spans="5:5" x14ac:dyDescent="0.3">
      <c r="E42">
        <v>331607.14999999997</v>
      </c>
    </row>
    <row r="43" spans="5:5" x14ac:dyDescent="0.3">
      <c r="E43">
        <v>85842.099999999991</v>
      </c>
    </row>
    <row r="44" spans="5:5" x14ac:dyDescent="0.3">
      <c r="E44">
        <v>289897.26</v>
      </c>
    </row>
    <row r="45" spans="5:5" x14ac:dyDescent="0.3">
      <c r="E45">
        <v>7181.88</v>
      </c>
    </row>
    <row r="46" spans="5:5" x14ac:dyDescent="0.3">
      <c r="E46">
        <v>103575.44</v>
      </c>
    </row>
    <row r="47" spans="5:5" x14ac:dyDescent="0.3">
      <c r="E47">
        <v>14309.64</v>
      </c>
    </row>
    <row r="48" spans="5:5" x14ac:dyDescent="0.3">
      <c r="E48">
        <v>36446.58</v>
      </c>
    </row>
    <row r="49" spans="5:5" x14ac:dyDescent="0.3">
      <c r="E49">
        <v>5291.28</v>
      </c>
    </row>
    <row r="50" spans="5:5" x14ac:dyDescent="0.3">
      <c r="E50">
        <v>6819.23</v>
      </c>
    </row>
    <row r="51" spans="5:5" x14ac:dyDescent="0.3">
      <c r="E51">
        <v>12099.9</v>
      </c>
    </row>
    <row r="52" spans="5:5" x14ac:dyDescent="0.3">
      <c r="E52">
        <v>6006.1500000000005</v>
      </c>
    </row>
    <row r="53" spans="5:5" x14ac:dyDescent="0.3">
      <c r="E53">
        <v>14273.699999999999</v>
      </c>
    </row>
    <row r="54" spans="5:5" x14ac:dyDescent="0.3">
      <c r="E54">
        <v>11134.5</v>
      </c>
    </row>
    <row r="55" spans="5:5" x14ac:dyDescent="0.3">
      <c r="E55">
        <v>11203.36</v>
      </c>
    </row>
    <row r="56" spans="5:5" x14ac:dyDescent="0.3">
      <c r="E56">
        <v>13162.57</v>
      </c>
    </row>
    <row r="57" spans="5:5" x14ac:dyDescent="0.3">
      <c r="E57">
        <v>316618.46999999997</v>
      </c>
    </row>
    <row r="58" spans="5:5" x14ac:dyDescent="0.3">
      <c r="E58">
        <v>112120.3</v>
      </c>
    </row>
    <row r="59" spans="5:5" x14ac:dyDescent="0.3">
      <c r="E59">
        <v>57267.700000000004</v>
      </c>
    </row>
    <row r="60" spans="5:5" x14ac:dyDescent="0.3">
      <c r="E60">
        <v>8133.12</v>
      </c>
    </row>
    <row r="61" spans="5:5" x14ac:dyDescent="0.3">
      <c r="E61">
        <v>12994.300000000001</v>
      </c>
    </row>
    <row r="62" spans="5:5" x14ac:dyDescent="0.3">
      <c r="E62">
        <v>7757.82</v>
      </c>
    </row>
    <row r="63" spans="5:5" x14ac:dyDescent="0.3">
      <c r="E63">
        <v>3299.75</v>
      </c>
    </row>
    <row r="64" spans="5:5" x14ac:dyDescent="0.3">
      <c r="E64">
        <v>50127.56</v>
      </c>
    </row>
    <row r="65" spans="5:5" x14ac:dyDescent="0.3">
      <c r="E65">
        <v>409388.39999999997</v>
      </c>
    </row>
    <row r="66" spans="5:5" x14ac:dyDescent="0.3">
      <c r="E66">
        <v>4636.29</v>
      </c>
    </row>
    <row r="67" spans="5:5" x14ac:dyDescent="0.3">
      <c r="E67">
        <v>5542.96</v>
      </c>
    </row>
    <row r="68" spans="5:5" x14ac:dyDescent="0.3">
      <c r="E68">
        <v>34827.519999999997</v>
      </c>
    </row>
    <row r="69" spans="5:5" x14ac:dyDescent="0.3">
      <c r="E69">
        <v>74431.39</v>
      </c>
    </row>
    <row r="70" spans="5:5" x14ac:dyDescent="0.3">
      <c r="E70">
        <v>48687.31</v>
      </c>
    </row>
    <row r="71" spans="5:5" x14ac:dyDescent="0.3">
      <c r="E71">
        <v>3240.02</v>
      </c>
    </row>
    <row r="72" spans="5:5" x14ac:dyDescent="0.3">
      <c r="E72">
        <v>13757.16</v>
      </c>
    </row>
    <row r="73" spans="5:5" x14ac:dyDescent="0.3">
      <c r="E73">
        <v>321137.04000000004</v>
      </c>
    </row>
    <row r="74" spans="5:5" x14ac:dyDescent="0.3">
      <c r="E74">
        <v>22952.34</v>
      </c>
    </row>
    <row r="75" spans="5:5" x14ac:dyDescent="0.3">
      <c r="E75">
        <v>3099.02</v>
      </c>
    </row>
    <row r="76" spans="5:5" x14ac:dyDescent="0.3">
      <c r="E76">
        <v>15428.71</v>
      </c>
    </row>
    <row r="77" spans="5:5" x14ac:dyDescent="0.3">
      <c r="E77">
        <v>7038.7</v>
      </c>
    </row>
    <row r="78" spans="5:5" x14ac:dyDescent="0.3">
      <c r="E78">
        <v>127396.15000000001</v>
      </c>
    </row>
    <row r="79" spans="5:5" x14ac:dyDescent="0.3">
      <c r="E79">
        <v>3125.21</v>
      </c>
    </row>
    <row r="80" spans="5:5" x14ac:dyDescent="0.3">
      <c r="E80">
        <v>361362.08</v>
      </c>
    </row>
    <row r="81" spans="5:5" x14ac:dyDescent="0.3">
      <c r="E81">
        <v>3273.81</v>
      </c>
    </row>
    <row r="82" spans="5:5" x14ac:dyDescent="0.3">
      <c r="E82">
        <v>22398.16</v>
      </c>
    </row>
    <row r="83" spans="5:5" x14ac:dyDescent="0.3">
      <c r="E83">
        <v>58142.16</v>
      </c>
    </row>
    <row r="84" spans="5:5" x14ac:dyDescent="0.3">
      <c r="E84">
        <v>84781.8</v>
      </c>
    </row>
    <row r="85" spans="5:5" x14ac:dyDescent="0.3">
      <c r="E85">
        <v>7297.5099999999993</v>
      </c>
    </row>
    <row r="86" spans="5:5" x14ac:dyDescent="0.3">
      <c r="E86">
        <v>9111.0400000000009</v>
      </c>
    </row>
    <row r="87" spans="5:5" x14ac:dyDescent="0.3">
      <c r="E87">
        <v>73339.399999999994</v>
      </c>
    </row>
    <row r="88" spans="5:5" x14ac:dyDescent="0.3">
      <c r="E88">
        <v>50281.279999999999</v>
      </c>
    </row>
    <row r="89" spans="5:5" x14ac:dyDescent="0.3">
      <c r="E89">
        <v>4418.68</v>
      </c>
    </row>
    <row r="90" spans="5:5" x14ac:dyDescent="0.3">
      <c r="E90">
        <v>10959.970000000001</v>
      </c>
    </row>
    <row r="91" spans="5:5" x14ac:dyDescent="0.3">
      <c r="E91">
        <v>57565.440000000002</v>
      </c>
    </row>
    <row r="92" spans="5:5" x14ac:dyDescent="0.3">
      <c r="E92">
        <v>3242.5</v>
      </c>
    </row>
    <row r="93" spans="5:5" x14ac:dyDescent="0.3">
      <c r="E93">
        <v>179137.8</v>
      </c>
    </row>
    <row r="94" spans="5:5" x14ac:dyDescent="0.3">
      <c r="E94">
        <v>114633.48000000001</v>
      </c>
    </row>
    <row r="95" spans="5:5" x14ac:dyDescent="0.3">
      <c r="E95">
        <v>181046.43</v>
      </c>
    </row>
    <row r="96" spans="5:5" x14ac:dyDescent="0.3">
      <c r="E96">
        <v>6697.7</v>
      </c>
    </row>
    <row r="97" spans="5:5" x14ac:dyDescent="0.3">
      <c r="E97">
        <v>1131.5899999999999</v>
      </c>
    </row>
    <row r="98" spans="5:5" x14ac:dyDescent="0.3">
      <c r="E98">
        <v>67967.700000000012</v>
      </c>
    </row>
    <row r="99" spans="5:5" x14ac:dyDescent="0.3">
      <c r="E99">
        <v>35240.76</v>
      </c>
    </row>
    <row r="100" spans="5:5" x14ac:dyDescent="0.3">
      <c r="E100">
        <v>85597.33</v>
      </c>
    </row>
    <row r="101" spans="5:5" x14ac:dyDescent="0.3">
      <c r="E101">
        <v>3277.0199999999995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A4D05-CC3D-4EE6-93E4-393C4287D39F}">
  <dimension ref="A1:K30"/>
  <sheetViews>
    <sheetView zoomScaleNormal="100" workbookViewId="0">
      <selection activeCell="I13" sqref="I13"/>
    </sheetView>
  </sheetViews>
  <sheetFormatPr defaultRowHeight="14.4" x14ac:dyDescent="0.3"/>
  <cols>
    <col min="1" max="1" width="15.88671875" bestFit="1" customWidth="1"/>
    <col min="2" max="2" width="15.5546875" bestFit="1" customWidth="1"/>
    <col min="3" max="3" width="4.77734375" bestFit="1" customWidth="1"/>
    <col min="4" max="4" width="4.44140625" bestFit="1" customWidth="1"/>
    <col min="5" max="5" width="8.109375" bestFit="1" customWidth="1"/>
    <col min="6" max="6" width="10.77734375" bestFit="1" customWidth="1"/>
    <col min="7" max="7" width="14.88671875" bestFit="1" customWidth="1"/>
    <col min="8" max="8" width="13.88671875" bestFit="1" customWidth="1"/>
    <col min="9" max="9" width="22.21875" bestFit="1" customWidth="1"/>
    <col min="10" max="10" width="19.109375" bestFit="1" customWidth="1"/>
    <col min="11" max="11" width="10.77734375" bestFit="1" customWidth="1"/>
  </cols>
  <sheetData>
    <row r="1" spans="1:11" x14ac:dyDescent="0.3">
      <c r="A1" s="8" t="s">
        <v>669</v>
      </c>
      <c r="B1" t="s">
        <v>677</v>
      </c>
      <c r="C1" t="s">
        <v>678</v>
      </c>
      <c r="G1" s="8" t="s">
        <v>683</v>
      </c>
      <c r="H1" s="8" t="s">
        <v>679</v>
      </c>
    </row>
    <row r="2" spans="1:11" x14ac:dyDescent="0.3">
      <c r="A2" s="9" t="s">
        <v>640</v>
      </c>
      <c r="B2">
        <v>384776.761</v>
      </c>
      <c r="C2">
        <v>147.3137401209901</v>
      </c>
      <c r="G2" s="8" t="s">
        <v>669</v>
      </c>
      <c r="H2" t="s">
        <v>680</v>
      </c>
      <c r="I2" t="s">
        <v>681</v>
      </c>
      <c r="J2" t="s">
        <v>682</v>
      </c>
      <c r="K2" t="s">
        <v>670</v>
      </c>
    </row>
    <row r="3" spans="1:11" x14ac:dyDescent="0.3">
      <c r="A3" s="9" t="s">
        <v>644</v>
      </c>
      <c r="B3">
        <v>957.64799999999991</v>
      </c>
      <c r="C3">
        <v>17.17094736842105</v>
      </c>
      <c r="G3" s="9" t="s">
        <v>509</v>
      </c>
      <c r="H3">
        <v>15</v>
      </c>
      <c r="I3">
        <v>39</v>
      </c>
      <c r="J3">
        <v>70</v>
      </c>
      <c r="K3">
        <v>124</v>
      </c>
    </row>
    <row r="4" spans="1:11" x14ac:dyDescent="0.3">
      <c r="A4" s="9" t="s">
        <v>649</v>
      </c>
      <c r="B4">
        <v>1207201.1510000001</v>
      </c>
      <c r="C4">
        <v>175.79005774997341</v>
      </c>
      <c r="G4" s="9" t="s">
        <v>511</v>
      </c>
      <c r="H4">
        <v>39</v>
      </c>
      <c r="I4">
        <v>39</v>
      </c>
      <c r="J4">
        <v>28</v>
      </c>
      <c r="K4">
        <v>106</v>
      </c>
    </row>
    <row r="5" spans="1:11" x14ac:dyDescent="0.3">
      <c r="A5" s="9" t="s">
        <v>645</v>
      </c>
      <c r="B5">
        <v>708386.49599999993</v>
      </c>
      <c r="C5">
        <v>246.50400832097611</v>
      </c>
      <c r="G5" s="9" t="s">
        <v>510</v>
      </c>
      <c r="H5">
        <v>15</v>
      </c>
      <c r="I5">
        <v>31</v>
      </c>
      <c r="J5">
        <v>48</v>
      </c>
      <c r="K5">
        <v>94</v>
      </c>
    </row>
    <row r="6" spans="1:11" x14ac:dyDescent="0.3">
      <c r="A6" s="9" t="s">
        <v>642</v>
      </c>
      <c r="B6">
        <v>10054.125</v>
      </c>
      <c r="C6">
        <v>17.215360824742266</v>
      </c>
      <c r="G6" s="9" t="s">
        <v>513</v>
      </c>
      <c r="H6">
        <v>39</v>
      </c>
      <c r="I6">
        <v>50</v>
      </c>
      <c r="J6">
        <v>43</v>
      </c>
      <c r="K6">
        <v>132</v>
      </c>
    </row>
    <row r="7" spans="1:11" x14ac:dyDescent="0.3">
      <c r="A7" s="9" t="s">
        <v>643</v>
      </c>
      <c r="B7">
        <v>4700.4799999999996</v>
      </c>
      <c r="C7">
        <v>17.189999999999998</v>
      </c>
      <c r="G7" s="9" t="s">
        <v>512</v>
      </c>
      <c r="H7">
        <v>51</v>
      </c>
      <c r="I7">
        <v>44</v>
      </c>
      <c r="J7">
        <v>67</v>
      </c>
      <c r="K7">
        <v>162</v>
      </c>
    </row>
    <row r="8" spans="1:11" x14ac:dyDescent="0.3">
      <c r="A8" s="9" t="s">
        <v>647</v>
      </c>
      <c r="B8">
        <v>234031.82549999998</v>
      </c>
      <c r="C8">
        <v>219.23440589848184</v>
      </c>
      <c r="G8" s="9" t="s">
        <v>670</v>
      </c>
      <c r="H8">
        <v>159</v>
      </c>
      <c r="I8">
        <v>203</v>
      </c>
      <c r="J8">
        <v>256</v>
      </c>
      <c r="K8">
        <v>618</v>
      </c>
    </row>
    <row r="9" spans="1:11" x14ac:dyDescent="0.3">
      <c r="A9" s="9" t="s">
        <v>646</v>
      </c>
      <c r="B9">
        <v>893121.03600000008</v>
      </c>
      <c r="C9">
        <v>204.10106471228525</v>
      </c>
    </row>
    <row r="10" spans="1:11" x14ac:dyDescent="0.3">
      <c r="A10" s="9" t="s">
        <v>650</v>
      </c>
      <c r="B10">
        <v>861264.1129999999</v>
      </c>
      <c r="C10">
        <v>215.79306000371534</v>
      </c>
    </row>
    <row r="11" spans="1:11" x14ac:dyDescent="0.3">
      <c r="A11" s="9" t="s">
        <v>639</v>
      </c>
      <c r="B11">
        <v>1375630.2544999998</v>
      </c>
      <c r="C11">
        <v>275.06361930734107</v>
      </c>
    </row>
    <row r="12" spans="1:11" x14ac:dyDescent="0.3">
      <c r="A12" s="9" t="s">
        <v>641</v>
      </c>
      <c r="B12">
        <v>497737.94500000001</v>
      </c>
      <c r="C12">
        <v>133.04914738769119</v>
      </c>
    </row>
    <row r="13" spans="1:11" x14ac:dyDescent="0.3">
      <c r="A13" s="9" t="s">
        <v>670</v>
      </c>
      <c r="B13">
        <v>6177861.835</v>
      </c>
      <c r="C13">
        <v>1668.4254116946174</v>
      </c>
    </row>
    <row r="17" spans="1:10" x14ac:dyDescent="0.3">
      <c r="A17" s="8" t="s">
        <v>684</v>
      </c>
      <c r="B17" s="8" t="s">
        <v>679</v>
      </c>
      <c r="H17" s="8" t="s">
        <v>697</v>
      </c>
      <c r="I17" t="s">
        <v>677</v>
      </c>
      <c r="J17" t="s">
        <v>698</v>
      </c>
    </row>
    <row r="18" spans="1:10" x14ac:dyDescent="0.3">
      <c r="A18" s="8" t="s">
        <v>669</v>
      </c>
      <c r="B18" t="s">
        <v>637</v>
      </c>
      <c r="C18" t="s">
        <v>635</v>
      </c>
      <c r="D18" t="s">
        <v>636</v>
      </c>
      <c r="E18" t="s">
        <v>638</v>
      </c>
      <c r="F18" t="s">
        <v>670</v>
      </c>
      <c r="H18" s="9" t="s">
        <v>685</v>
      </c>
      <c r="I18">
        <v>183422.91250000001</v>
      </c>
      <c r="J18">
        <v>11971.730000000001</v>
      </c>
    </row>
    <row r="19" spans="1:10" x14ac:dyDescent="0.3">
      <c r="A19" s="9" t="s">
        <v>490</v>
      </c>
      <c r="B19">
        <v>13</v>
      </c>
      <c r="C19">
        <v>8</v>
      </c>
      <c r="D19">
        <v>5</v>
      </c>
      <c r="E19">
        <v>12</v>
      </c>
      <c r="F19">
        <v>38</v>
      </c>
      <c r="H19" s="9" t="s">
        <v>686</v>
      </c>
      <c r="I19">
        <v>319061.90799999994</v>
      </c>
      <c r="J19">
        <v>24204.149999999998</v>
      </c>
    </row>
    <row r="20" spans="1:10" x14ac:dyDescent="0.3">
      <c r="A20" s="9" t="s">
        <v>491</v>
      </c>
      <c r="B20">
        <v>6</v>
      </c>
      <c r="C20">
        <v>8</v>
      </c>
      <c r="D20">
        <v>10</v>
      </c>
      <c r="E20">
        <v>11</v>
      </c>
      <c r="F20">
        <v>35</v>
      </c>
      <c r="H20" s="9" t="s">
        <v>687</v>
      </c>
      <c r="I20">
        <v>499630.31900000002</v>
      </c>
      <c r="J20">
        <v>36035.399999999994</v>
      </c>
    </row>
    <row r="21" spans="1:10" x14ac:dyDescent="0.3">
      <c r="A21" s="9" t="s">
        <v>492</v>
      </c>
      <c r="B21">
        <v>5</v>
      </c>
      <c r="C21">
        <v>7</v>
      </c>
      <c r="D21">
        <v>5</v>
      </c>
      <c r="E21">
        <v>10</v>
      </c>
      <c r="F21">
        <v>27</v>
      </c>
      <c r="H21" s="9" t="s">
        <v>688</v>
      </c>
      <c r="I21">
        <v>1374452.057</v>
      </c>
      <c r="J21">
        <v>114518.46</v>
      </c>
    </row>
    <row r="22" spans="1:10" x14ac:dyDescent="0.3">
      <c r="A22" s="9" t="s">
        <v>670</v>
      </c>
      <c r="B22">
        <v>24</v>
      </c>
      <c r="C22">
        <v>23</v>
      </c>
      <c r="D22">
        <v>20</v>
      </c>
      <c r="E22">
        <v>33</v>
      </c>
      <c r="F22">
        <v>100</v>
      </c>
      <c r="H22" s="9" t="s">
        <v>689</v>
      </c>
      <c r="I22">
        <v>545463.92049999989</v>
      </c>
      <c r="J22">
        <v>34929.090000000004</v>
      </c>
    </row>
    <row r="23" spans="1:10" x14ac:dyDescent="0.3">
      <c r="H23" s="9" t="s">
        <v>690</v>
      </c>
      <c r="I23">
        <v>464717.70750000002</v>
      </c>
      <c r="J23">
        <v>16360.44</v>
      </c>
    </row>
    <row r="24" spans="1:10" x14ac:dyDescent="0.3">
      <c r="H24" s="9" t="s">
        <v>691</v>
      </c>
      <c r="I24">
        <v>426962.61100000003</v>
      </c>
      <c r="J24">
        <v>24504.7</v>
      </c>
    </row>
    <row r="25" spans="1:10" x14ac:dyDescent="0.3">
      <c r="H25" s="9" t="s">
        <v>692</v>
      </c>
      <c r="I25">
        <v>474967.52899999998</v>
      </c>
      <c r="J25">
        <v>26066.559999999998</v>
      </c>
    </row>
    <row r="26" spans="1:10" x14ac:dyDescent="0.3">
      <c r="H26" s="9" t="s">
        <v>693</v>
      </c>
      <c r="I26">
        <v>460383.65000000008</v>
      </c>
      <c r="J26">
        <v>24185.260000000002</v>
      </c>
    </row>
    <row r="27" spans="1:10" x14ac:dyDescent="0.3">
      <c r="H27" s="9" t="s">
        <v>694</v>
      </c>
      <c r="I27">
        <v>614586.31799999997</v>
      </c>
      <c r="J27">
        <v>23520.97</v>
      </c>
    </row>
    <row r="28" spans="1:10" x14ac:dyDescent="0.3">
      <c r="H28" s="9" t="s">
        <v>695</v>
      </c>
      <c r="I28">
        <v>207504.01400000002</v>
      </c>
      <c r="J28">
        <v>6761.2699999999995</v>
      </c>
    </row>
    <row r="29" spans="1:10" x14ac:dyDescent="0.3">
      <c r="H29" s="9" t="s">
        <v>696</v>
      </c>
      <c r="I29">
        <v>606708.88849999988</v>
      </c>
      <c r="J29">
        <v>34064.909999999996</v>
      </c>
    </row>
    <row r="30" spans="1:10" x14ac:dyDescent="0.3">
      <c r="H30" s="9" t="s">
        <v>670</v>
      </c>
      <c r="I30">
        <v>6177861.8350000009</v>
      </c>
      <c r="J30">
        <v>377122.94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5A8E0-925A-4E5B-AF11-E3069FB2EDD7}">
  <dimension ref="A1:AD48"/>
  <sheetViews>
    <sheetView showGridLines="0" showRowColHeaders="0" tabSelected="1" zoomScale="68" zoomScaleNormal="68" workbookViewId="0">
      <selection activeCell="AA52" sqref="AA52"/>
    </sheetView>
  </sheetViews>
  <sheetFormatPr defaultRowHeight="14.4" x14ac:dyDescent="0.3"/>
  <cols>
    <col min="1" max="12" width="12.77734375" customWidth="1"/>
    <col min="13" max="13" width="14.109375" customWidth="1"/>
    <col min="14" max="14" width="11.88671875" customWidth="1"/>
  </cols>
  <sheetData>
    <row r="1" spans="1:30" x14ac:dyDescent="0.3">
      <c r="A1" s="14" t="s">
        <v>700</v>
      </c>
      <c r="B1" s="15"/>
      <c r="C1" s="15"/>
      <c r="D1" s="15"/>
      <c r="E1" s="15"/>
      <c r="F1" s="15"/>
      <c r="G1" s="15"/>
      <c r="H1" s="15"/>
      <c r="I1" s="15"/>
      <c r="J1" s="15"/>
      <c r="K1" s="15"/>
      <c r="L1" s="15"/>
      <c r="M1" s="11"/>
      <c r="N1" s="11"/>
      <c r="O1" s="11"/>
      <c r="P1" s="11"/>
      <c r="Q1" s="11"/>
      <c r="R1" s="11"/>
      <c r="S1" s="11"/>
      <c r="T1" s="11"/>
      <c r="U1" s="11"/>
      <c r="V1" s="11"/>
      <c r="W1" s="11"/>
      <c r="X1" s="11"/>
      <c r="Y1" s="11"/>
      <c r="Z1" s="11"/>
      <c r="AA1" s="11"/>
      <c r="AB1" s="11"/>
      <c r="AC1" s="11"/>
    </row>
    <row r="2" spans="1:30" x14ac:dyDescent="0.3">
      <c r="A2" s="15"/>
      <c r="B2" s="15"/>
      <c r="C2" s="15"/>
      <c r="D2" s="15"/>
      <c r="E2" s="15"/>
      <c r="F2" s="15"/>
      <c r="G2" s="15"/>
      <c r="H2" s="15"/>
      <c r="I2" s="15"/>
      <c r="J2" s="15"/>
      <c r="K2" s="15"/>
      <c r="L2" s="15"/>
      <c r="M2" s="11"/>
      <c r="N2" s="11"/>
      <c r="O2" s="11"/>
      <c r="P2" s="11"/>
      <c r="Q2" s="11"/>
      <c r="R2" s="11"/>
      <c r="S2" s="11"/>
      <c r="T2" s="11"/>
      <c r="U2" s="11"/>
      <c r="V2" s="11"/>
      <c r="W2" s="11"/>
      <c r="X2" s="11"/>
      <c r="Y2" s="11"/>
      <c r="Z2" s="11"/>
      <c r="AA2" s="11"/>
      <c r="AB2" s="11"/>
      <c r="AC2" s="11"/>
    </row>
    <row r="3" spans="1:30" x14ac:dyDescent="0.3">
      <c r="A3" s="11"/>
      <c r="B3" s="11"/>
      <c r="C3" s="11"/>
      <c r="D3" s="11"/>
      <c r="E3" s="11"/>
      <c r="F3" s="11"/>
      <c r="G3" s="11"/>
      <c r="H3" s="11"/>
      <c r="I3" s="11"/>
      <c r="J3" s="11"/>
      <c r="K3" s="11"/>
      <c r="L3" s="11"/>
      <c r="M3" s="11"/>
      <c r="N3" s="11"/>
      <c r="O3" s="11"/>
      <c r="P3" s="11"/>
      <c r="Q3" s="11"/>
      <c r="R3" s="11"/>
      <c r="S3" s="11"/>
      <c r="T3" s="11"/>
      <c r="U3" s="11"/>
      <c r="V3" s="11"/>
      <c r="W3" s="11"/>
      <c r="X3" s="11"/>
      <c r="Y3" s="11"/>
      <c r="Z3" s="11"/>
      <c r="AA3" s="11"/>
      <c r="AB3" s="11"/>
      <c r="AC3" s="11"/>
    </row>
    <row r="4" spans="1:30" x14ac:dyDescent="0.3">
      <c r="A4" s="11"/>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row>
    <row r="5" spans="1:30" x14ac:dyDescent="0.3">
      <c r="A5" s="11"/>
      <c r="B5" s="11"/>
      <c r="C5" s="11"/>
      <c r="D5" s="11"/>
      <c r="E5" s="11"/>
      <c r="F5" s="11"/>
      <c r="G5" s="11"/>
      <c r="H5" s="11"/>
      <c r="I5" s="11"/>
      <c r="J5" s="11"/>
      <c r="K5" s="11"/>
      <c r="L5" s="11"/>
      <c r="M5" s="11"/>
      <c r="N5" s="11"/>
      <c r="O5" s="11"/>
      <c r="P5" s="11"/>
      <c r="Q5" s="11"/>
      <c r="R5" s="11"/>
      <c r="S5" s="11"/>
      <c r="T5" s="11"/>
      <c r="U5" s="11"/>
      <c r="V5" s="11"/>
      <c r="W5" s="11"/>
      <c r="X5" s="11"/>
      <c r="Y5" s="11"/>
      <c r="Z5" s="11"/>
      <c r="AA5" s="11"/>
      <c r="AB5" s="11"/>
      <c r="AC5" s="11"/>
    </row>
    <row r="6" spans="1:30" x14ac:dyDescent="0.3">
      <c r="A6" s="11"/>
      <c r="B6" s="11"/>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row>
    <row r="7" spans="1:30" x14ac:dyDescent="0.3">
      <c r="A7" s="11"/>
      <c r="B7" s="11"/>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row>
    <row r="8" spans="1:30" x14ac:dyDescent="0.3">
      <c r="A8" s="11"/>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row>
    <row r="9" spans="1:30" x14ac:dyDescent="0.3">
      <c r="A9" s="11"/>
      <c r="B9" s="11"/>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row>
    <row r="10" spans="1:30" x14ac:dyDescent="0.3">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row>
    <row r="11" spans="1:30" x14ac:dyDescent="0.3">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row>
    <row r="12" spans="1:30" x14ac:dyDescent="0.3">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row>
    <row r="13" spans="1:30" x14ac:dyDescent="0.3">
      <c r="A13" s="11"/>
      <c r="B13" s="11"/>
      <c r="C13" s="11"/>
      <c r="D13" s="11"/>
      <c r="E13" s="12"/>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row>
    <row r="14" spans="1:30" x14ac:dyDescent="0.3">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row>
    <row r="15" spans="1:30" x14ac:dyDescent="0.3">
      <c r="A15" s="11">
        <f>COUNTA(Table1[Row ID])</f>
        <v>100</v>
      </c>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row>
    <row r="16" spans="1:30" x14ac:dyDescent="0.3">
      <c r="A16" s="12">
        <f>SUM(Table1[total net revenue])</f>
        <v>6177861.8349999981</v>
      </c>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row>
    <row r="17" spans="1:30" x14ac:dyDescent="0.3">
      <c r="A17" s="13">
        <f>AVERAGE(Table1[Profit])</f>
        <v>16.891499999999997</v>
      </c>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row>
    <row r="18" spans="1:30" x14ac:dyDescent="0.3">
      <c r="A18" s="12">
        <f>SUM(Sheet1!AA:AA)</f>
        <v>377122.93999999994</v>
      </c>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row>
    <row r="19" spans="1:30" x14ac:dyDescent="0.3">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row>
    <row r="20" spans="1:30" x14ac:dyDescent="0.3">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row>
    <row r="21" spans="1:30" x14ac:dyDescent="0.3">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row>
    <row r="22" spans="1:30" x14ac:dyDescent="0.3">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row>
    <row r="23" spans="1:30" x14ac:dyDescent="0.3">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row>
    <row r="24" spans="1:30" x14ac:dyDescent="0.3">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row>
    <row r="25" spans="1:30" x14ac:dyDescent="0.3">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row>
    <row r="26" spans="1:30" x14ac:dyDescent="0.3">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row>
    <row r="27" spans="1:30" x14ac:dyDescent="0.3">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row>
    <row r="28" spans="1:30" x14ac:dyDescent="0.3">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row>
    <row r="29" spans="1:30" x14ac:dyDescent="0.3">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row>
    <row r="30" spans="1:30" x14ac:dyDescent="0.3">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row>
    <row r="31" spans="1:30" x14ac:dyDescent="0.3">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row>
    <row r="32" spans="1:30" x14ac:dyDescent="0.3">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row>
    <row r="33" spans="1:30" x14ac:dyDescent="0.3">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row>
    <row r="34" spans="1:30" x14ac:dyDescent="0.3">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row>
    <row r="35" spans="1:30" x14ac:dyDescent="0.3">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row>
    <row r="36" spans="1:30" x14ac:dyDescent="0.3">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row>
    <row r="37" spans="1:30" x14ac:dyDescent="0.3">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row>
    <row r="38" spans="1:30" x14ac:dyDescent="0.3">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row>
    <row r="39" spans="1:30" x14ac:dyDescent="0.3">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row>
    <row r="40" spans="1:30" x14ac:dyDescent="0.3">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row>
    <row r="41" spans="1:30" x14ac:dyDescent="0.3">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row>
    <row r="42" spans="1:30" x14ac:dyDescent="0.3">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row>
    <row r="43" spans="1:30" x14ac:dyDescent="0.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row>
    <row r="44" spans="1:30" x14ac:dyDescent="0.3">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row>
    <row r="45" spans="1:30" x14ac:dyDescent="0.3">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row>
    <row r="46" spans="1:30" x14ac:dyDescent="0.3">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row>
    <row r="47" spans="1:30" x14ac:dyDescent="0.3">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row>
    <row r="48" spans="1:30" x14ac:dyDescent="0.3">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row>
  </sheetData>
  <mergeCells count="1">
    <mergeCell ref="A1:L2"/>
  </mergeCells>
  <pageMargins left="0.7" right="0.7" top="0.75" bottom="0.75" header="0.3" footer="0.3"/>
  <pageSetup paperSize="9" orientation="portrait" horizontalDpi="300" verticalDpi="0" copies="0"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E402D-0EF7-413D-882D-27F7B0914275}">
  <dimension ref="A1"/>
  <sheetViews>
    <sheetView topLeftCell="I1" workbookViewId="0">
      <selection activeCell="W20" sqref="W20"/>
    </sheetView>
  </sheetViews>
  <sheetFormatPr defaultRowHeight="14.4" x14ac:dyDescent="0.3"/>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B95CD-B7DB-4D49-B7B5-2CAE163C5F1A}">
  <dimension ref="A1:B20"/>
  <sheetViews>
    <sheetView workbookViewId="0">
      <selection activeCell="H5" sqref="H5"/>
    </sheetView>
  </sheetViews>
  <sheetFormatPr defaultRowHeight="14.4" x14ac:dyDescent="0.3"/>
  <cols>
    <col min="1" max="1" width="12.5546875" bestFit="1" customWidth="1"/>
    <col min="2" max="2" width="22.21875" bestFit="1" customWidth="1"/>
  </cols>
  <sheetData>
    <row r="1" spans="1:2" x14ac:dyDescent="0.3">
      <c r="A1" s="8" t="s">
        <v>669</v>
      </c>
      <c r="B1" t="s">
        <v>677</v>
      </c>
    </row>
    <row r="2" spans="1:2" x14ac:dyDescent="0.3">
      <c r="A2" s="9" t="s">
        <v>496</v>
      </c>
      <c r="B2">
        <v>1279501.5035000001</v>
      </c>
    </row>
    <row r="3" spans="1:2" x14ac:dyDescent="0.3">
      <c r="A3" s="9" t="s">
        <v>501</v>
      </c>
      <c r="B3">
        <v>634602.77850000001</v>
      </c>
    </row>
    <row r="4" spans="1:2" x14ac:dyDescent="0.3">
      <c r="A4" s="9" t="s">
        <v>505</v>
      </c>
      <c r="B4">
        <v>110381.54399999999</v>
      </c>
    </row>
    <row r="5" spans="1:2" x14ac:dyDescent="0.3">
      <c r="A5" s="9" t="s">
        <v>503</v>
      </c>
      <c r="B5">
        <v>948553.99399999995</v>
      </c>
    </row>
    <row r="6" spans="1:2" x14ac:dyDescent="0.3">
      <c r="A6" s="9" t="s">
        <v>504</v>
      </c>
      <c r="B6">
        <v>494069.44049999997</v>
      </c>
    </row>
    <row r="7" spans="1:2" x14ac:dyDescent="0.3">
      <c r="A7" s="9" t="s">
        <v>502</v>
      </c>
      <c r="B7">
        <v>1263468.5989999997</v>
      </c>
    </row>
    <row r="8" spans="1:2" x14ac:dyDescent="0.3">
      <c r="A8" s="9" t="s">
        <v>506</v>
      </c>
      <c r="B8">
        <v>1447283.9754999999</v>
      </c>
    </row>
    <row r="9" spans="1:2" x14ac:dyDescent="0.3">
      <c r="A9" s="9" t="s">
        <v>670</v>
      </c>
      <c r="B9">
        <v>6177861.835</v>
      </c>
    </row>
    <row r="13" spans="1:2" x14ac:dyDescent="0.3">
      <c r="A13" s="10" t="s">
        <v>669</v>
      </c>
      <c r="B13" s="10" t="s">
        <v>677</v>
      </c>
    </row>
    <row r="14" spans="1:2" x14ac:dyDescent="0.3">
      <c r="A14" s="9" t="s">
        <v>496</v>
      </c>
      <c r="B14">
        <v>1279501.5035000001</v>
      </c>
    </row>
    <row r="15" spans="1:2" x14ac:dyDescent="0.3">
      <c r="A15" s="9" t="s">
        <v>501</v>
      </c>
      <c r="B15">
        <v>634602.77850000001</v>
      </c>
    </row>
    <row r="16" spans="1:2" x14ac:dyDescent="0.3">
      <c r="A16" s="9" t="s">
        <v>505</v>
      </c>
      <c r="B16">
        <v>110381.54399999999</v>
      </c>
    </row>
    <row r="17" spans="1:2" x14ac:dyDescent="0.3">
      <c r="A17" s="9" t="s">
        <v>503</v>
      </c>
      <c r="B17">
        <v>948553.99399999995</v>
      </c>
    </row>
    <row r="18" spans="1:2" x14ac:dyDescent="0.3">
      <c r="A18" s="9" t="s">
        <v>504</v>
      </c>
      <c r="B18">
        <v>494069.44049999997</v>
      </c>
    </row>
    <row r="19" spans="1:2" x14ac:dyDescent="0.3">
      <c r="A19" s="9" t="s">
        <v>502</v>
      </c>
      <c r="B19">
        <v>1263468.5989999997</v>
      </c>
    </row>
    <row r="20" spans="1:2" x14ac:dyDescent="0.3">
      <c r="A20" s="9" t="s">
        <v>506</v>
      </c>
      <c r="B20">
        <v>1447283.9754999999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Sheet2</vt:lpstr>
      <vt:lpstr>Sheet1</vt:lpstr>
      <vt:lpstr>Sheet3</vt:lpstr>
      <vt:lpstr>pivot tables</vt:lpstr>
      <vt:lpstr>DASHBOARD</vt:lpstr>
      <vt:lpstr>Sheet6</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Rohit Patankar</cp:lastModifiedBy>
  <dcterms:created xsi:type="dcterms:W3CDTF">2026-08-16T06:19:37Z</dcterms:created>
  <dcterms:modified xsi:type="dcterms:W3CDTF">2026-10-17T06:01:37Z</dcterms:modified>
</cp:coreProperties>
</file>